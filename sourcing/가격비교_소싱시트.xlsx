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가격비교" sheetId="2" state="visible" r:id="rId2"/>
    <sheet name="설정" sheetId="3" state="visible" r:id="rId3"/>
    <sheet name="소싱체크리스트" sheetId="4" state="visible" r:id="rId4"/>
  </sheets>
  <definedNames>
    <definedName name="_xlnm._FilterDatabase" localSheetId="1" hidden="1">'가격비교'!$A$4:$AE$204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-"/>
    <numFmt numFmtId="165" formatCode="#,##0;(#,##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color rgb="00C0000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1F386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8" borderId="1" pivotButton="0" quotePrefix="0" xfId="0"/>
    <xf numFmtId="0" fontId="3" fillId="8" borderId="1" applyAlignment="1" pivotButton="0" quotePrefix="0" xfId="0">
      <alignment horizontal="center"/>
    </xf>
    <xf numFmtId="165" fontId="3" fillId="8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4" fontId="3" fillId="2" borderId="1" pivotButton="0" quotePrefix="0" xfId="0"/>
    <xf numFmtId="0" fontId="4" fillId="0" borderId="0" pivotButton="0" quotePrefix="0" xfId="0"/>
    <xf numFmtId="165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N4" authorId="0" shapeId="0">
      <text>
        <t>1보다 크면 빨간색: 위탁(1개 발주)이 안 되는 조건입니다. 도매꾹은 최소구매수량이 있는 상품이 많아요.</t>
      </text>
    </comment>
    <comment ref="R4" authorId="0" shapeId="0">
      <text>
        <t>네이버쇼핑에서 '배송비 포함' 최저가. 동일 모델·규격인지 꼭 확인.</t>
      </text>
    </comment>
    <comment ref="S4" authorId="0" shapeId="0">
      <text>
        <t>쿠팡 검색 최저가(로켓배송 포함, 배송비 포함).</t>
      </text>
    </comment>
    <comment ref="U4" authorId="0" shapeId="0">
      <text>
        <t>최저 원가 ÷ 시장 최저가. 60% 이하면 가격경쟁력이 좋은 편(가정 기준).</t>
      </text>
    </comment>
    <comment ref="Z4" authorId="0" shapeId="0">
      <text>
        <t>적용판매가 − 당근 수수료 − 최저원가 − 건당 광고비(설정 시트).</t>
      </text>
    </comment>
    <comment ref="AB4" authorId="0" shapeId="0">
      <text>
        <t>스마트스토어에 '시장 최저가 − 100원'으로 올렸을 때 남는 금액(수수료 차감).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사용 순서</t>
        </is>
      </c>
    </row>
    <row r="2">
      <c r="A2" s="2" t="inlineStr">
        <is>
          <t>1. [설정] 시트의 노란 칸(수수료·할인율·광고비·기준 마진)을 내 실제 조건으로 수정합니다. 기본값은 모두 가정값입니다.</t>
        </is>
      </c>
    </row>
    <row r="3">
      <c r="A3" s="2" t="inlineStr">
        <is>
          <t>2. [가격비교] 4~5행의 [예시] 가상 데이터를 지우고, 후보 상품을 한 줄에 하나씩 입력합니다.</t>
        </is>
      </c>
    </row>
    <row r="4">
      <c r="A4" s="2" t="inlineStr">
        <is>
          <t>3. 같은 상품을 스페셜오퍼 → 도매매 → 도매꾹 순으로 검색해 '단가'와 '배송비'를 입력합니다. 없는 곳은 비워두세요.</t>
        </is>
      </c>
    </row>
    <row r="5">
      <c r="A5" s="2" t="inlineStr">
        <is>
          <t>4. 도매꾹은 '최소구매수량'도 입력합니다. 1보다 크면 빨갛게 표시되며 위탁판매가 어렵습니다.</t>
        </is>
      </c>
    </row>
    <row r="6">
      <c r="A6" s="2" t="inlineStr">
        <is>
          <t>5. 네이버쇼핑·쿠팡에서 '배송비 포함 최저가'를 입력합니다. 반드시 같은 모델·규격끼리 비교하세요.</t>
        </is>
      </c>
    </row>
    <row r="7">
      <c r="A7" s="2" t="inlineStr">
        <is>
          <t>6. 판정 열에서 '✅ 판매추천' 상품만 필터로 모아 [소싱체크리스트]로 최종 점검합니다.</t>
        </is>
      </c>
    </row>
    <row r="8">
      <c r="A8" s="2" t="inlineStr">
        <is>
          <t>7. 당근 판매가를 따로 정하고 싶으면 '당근 판매가(직접입력)' 칸에 입력하면 그 값으로 다시 계산됩니다.</t>
        </is>
      </c>
    </row>
    <row r="9">
      <c r="A9" s="2" t="inlineStr"/>
    </row>
    <row r="10">
      <c r="A10" s="2" t="inlineStr">
        <is>
          <t>색상 규칙: 노란 칸 = 입력 · 흰 칸 = 자동 계산(수정 금지) · 파란 글씨 = 직접 넣은 값</t>
        </is>
      </c>
    </row>
    <row r="11">
      <c r="A11" s="2" t="inlineStr">
        <is>
          <t>주의: 가격·수수료·배송비는 수시로 바뀝니다. 발주 전 반드시 사이트에서 다시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0" customWidth="1" min="4" max="4"/>
    <col width="9" customWidth="1" min="5" max="5"/>
    <col width="8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8" customWidth="1" min="12" max="12"/>
    <col width="9" customWidth="1" min="13" max="13"/>
    <col width="8" customWidth="1" min="14" max="14"/>
    <col width="10" customWidth="1" min="15" max="15"/>
    <col width="10" customWidth="1" min="16" max="16"/>
    <col width="9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3" customWidth="1" min="30" max="30"/>
    <col width="34" customWidth="1" min="31" max="31"/>
  </cols>
  <sheetData>
    <row r="1">
      <c r="A1" s="3" t="inlineStr">
        <is>
          <t>도매 3사 × 오픈마켓 가격경쟁력 비교표</t>
        </is>
      </c>
    </row>
    <row r="2">
      <c r="A2" s="4" t="inlineStr">
        <is>
          <t>노란 칸=직접 입력 · 흰 칸=자동 계산 · 모든 가격은 '1개 기준, 배송비 포함' 원 단위 · 4~5행은 가상 예시(지우고 사용)</t>
        </is>
      </c>
    </row>
    <row r="3">
      <c r="A3" s="5" t="inlineStr">
        <is>
          <t>상품 정보</t>
        </is>
      </c>
      <c r="B3" s="6" t="n"/>
      <c r="C3" s="6" t="n"/>
      <c r="D3" s="6" t="n"/>
      <c r="E3" s="7" t="inlineStr">
        <is>
          <t>스페셜오퍼</t>
        </is>
      </c>
      <c r="F3" s="8" t="n"/>
      <c r="G3" s="8" t="n"/>
      <c r="H3" s="7" t="inlineStr">
        <is>
          <t>도매매</t>
        </is>
      </c>
      <c r="I3" s="8" t="n"/>
      <c r="J3" s="8" t="n"/>
      <c r="K3" s="7" t="inlineStr">
        <is>
          <t>도매꾹</t>
        </is>
      </c>
      <c r="L3" s="8" t="n"/>
      <c r="M3" s="8" t="n"/>
      <c r="N3" s="8" t="n"/>
      <c r="O3" s="5" t="inlineStr">
        <is>
          <t>소싱 결과</t>
        </is>
      </c>
      <c r="P3" s="6" t="n"/>
      <c r="Q3" s="6" t="n"/>
      <c r="R3" s="9" t="inlineStr">
        <is>
          <t>시장가 (스마트스토어·쿠팡)</t>
        </is>
      </c>
      <c r="S3" s="10" t="n"/>
      <c r="T3" s="10" t="n"/>
      <c r="U3" s="10" t="n"/>
      <c r="V3" s="11" t="inlineStr">
        <is>
          <t>당근 비즈프로필</t>
        </is>
      </c>
      <c r="W3" s="12" t="n"/>
      <c r="X3" s="12" t="n"/>
      <c r="Y3" s="12" t="n"/>
      <c r="Z3" s="12" t="n"/>
      <c r="AA3" s="12" t="n"/>
      <c r="AB3" s="9" t="inlineStr">
        <is>
          <t>오픈마켓 판매 시</t>
        </is>
      </c>
      <c r="AC3" s="10" t="n"/>
      <c r="AD3" s="5" t="inlineStr">
        <is>
          <t>판정</t>
        </is>
      </c>
      <c r="AE3" s="6" t="n"/>
    </row>
    <row r="4" ht="42" customHeight="1">
      <c r="A4" s="13" t="inlineStr">
        <is>
          <t>No</t>
        </is>
      </c>
      <c r="B4" s="13" t="inlineStr">
        <is>
          <t>상품명</t>
        </is>
      </c>
      <c r="C4" s="13" t="inlineStr">
        <is>
          <t>모델/규격
(동일상품 확인)</t>
        </is>
      </c>
      <c r="D4" s="13" t="inlineStr">
        <is>
          <t>카테고리</t>
        </is>
      </c>
      <c r="E4" s="13" t="inlineStr">
        <is>
          <t>단가</t>
        </is>
      </c>
      <c r="F4" s="13" t="inlineStr">
        <is>
          <t>배송비</t>
        </is>
      </c>
      <c r="G4" s="13" t="inlineStr">
        <is>
          <t>합계</t>
        </is>
      </c>
      <c r="H4" s="13" t="inlineStr">
        <is>
          <t>단가</t>
        </is>
      </c>
      <c r="I4" s="13" t="inlineStr">
        <is>
          <t>배송비</t>
        </is>
      </c>
      <c r="J4" s="13" t="inlineStr">
        <is>
          <t>합계</t>
        </is>
      </c>
      <c r="K4" s="13" t="inlineStr">
        <is>
          <t>단가</t>
        </is>
      </c>
      <c r="L4" s="13" t="inlineStr">
        <is>
          <t>배송비</t>
        </is>
      </c>
      <c r="M4" s="13" t="inlineStr">
        <is>
          <t>합계</t>
        </is>
      </c>
      <c r="N4" s="13" t="inlineStr">
        <is>
          <t>최소구매
수량</t>
        </is>
      </c>
      <c r="O4" s="13" t="inlineStr">
        <is>
          <t>최저 원가</t>
        </is>
      </c>
      <c r="P4" s="13" t="inlineStr">
        <is>
          <t>최저
소싱처</t>
        </is>
      </c>
      <c r="Q4" s="13" t="inlineStr">
        <is>
          <t>소싱처간
가격차</t>
        </is>
      </c>
      <c r="R4" s="13" t="inlineStr">
        <is>
          <t>스마트스토어
최저가</t>
        </is>
      </c>
      <c r="S4" s="13" t="inlineStr">
        <is>
          <t>쿠팡
최저가</t>
        </is>
      </c>
      <c r="T4" s="13" t="inlineStr">
        <is>
          <t>시장
최저가</t>
        </is>
      </c>
      <c r="U4" s="13" t="inlineStr">
        <is>
          <t>원가율
(낮을수록↑)</t>
        </is>
      </c>
      <c r="V4" s="13" t="inlineStr">
        <is>
          <t>당근
권장가</t>
        </is>
      </c>
      <c r="W4" s="13" t="inlineStr">
        <is>
          <t>당근 판매가
(직접입력)</t>
        </is>
      </c>
      <c r="X4" s="13" t="inlineStr">
        <is>
          <t>적용
판매가</t>
        </is>
      </c>
      <c r="Y4" s="13" t="inlineStr">
        <is>
          <t>당근
수수료</t>
        </is>
      </c>
      <c r="Z4" s="13" t="inlineStr">
        <is>
          <t>당근
순마진</t>
        </is>
      </c>
      <c r="AA4" s="13" t="inlineStr">
        <is>
          <t>당근
마진율</t>
        </is>
      </c>
      <c r="AB4" s="13" t="inlineStr">
        <is>
          <t>스마트스토어
마진</t>
        </is>
      </c>
      <c r="AC4" s="13" t="inlineStr">
        <is>
          <t>쿠팡
마진</t>
        </is>
      </c>
      <c r="AD4" s="13" t="inlineStr">
        <is>
          <t>판정</t>
        </is>
      </c>
      <c r="AE4" s="13" t="inlineStr">
        <is>
          <t>메모 (출고등급·취소율·리뷰수 등)</t>
        </is>
      </c>
    </row>
    <row r="5">
      <c r="A5" s="14" t="n">
        <v>1</v>
      </c>
      <c r="B5" s="15" t="inlineStr">
        <is>
          <t>[예시] 접이식 실리콘 수납바구니</t>
        </is>
      </c>
      <c r="C5" s="15" t="inlineStr">
        <is>
          <t>대형 3단</t>
        </is>
      </c>
      <c r="D5" s="16" t="inlineStr">
        <is>
          <t>생활</t>
        </is>
      </c>
      <c r="E5" s="17" t="n">
        <v>6900</v>
      </c>
      <c r="F5" s="17" t="n">
        <v>3000</v>
      </c>
      <c r="G5" s="18">
        <f>IF(E5="","",E5+F5)</f>
        <v/>
      </c>
      <c r="H5" s="17" t="n">
        <v>7200</v>
      </c>
      <c r="I5" s="17" t="n">
        <v>2500</v>
      </c>
      <c r="J5" s="18">
        <f>IF(H5="","",H5+I5)</f>
        <v/>
      </c>
      <c r="K5" s="17" t="n">
        <v>5800</v>
      </c>
      <c r="L5" s="17" t="n">
        <v>3500</v>
      </c>
      <c r="M5" s="18">
        <f>IF(K5="","",K5+L5)</f>
        <v/>
      </c>
      <c r="N5" s="16" t="n">
        <v>1</v>
      </c>
      <c r="O5" s="18">
        <f>IF(COUNT(G5,J5,M5)=0,"",MIN(G5,J5,M5))</f>
        <v/>
      </c>
      <c r="P5" s="14">
        <f>IF(O5="","",IF(O5=G5,"스페셜오퍼",IF(O5=J5,"도매매","도매꾹")))</f>
        <v/>
      </c>
      <c r="Q5" s="18">
        <f>IF(COUNT(G5,J5,M5)&lt;2,"",MAX(G5,J5,M5)-MIN(G5,J5,M5))</f>
        <v/>
      </c>
      <c r="R5" s="17" t="n">
        <v>16900</v>
      </c>
      <c r="S5" s="17" t="n">
        <v>15800</v>
      </c>
      <c r="T5" s="18">
        <f>IF(COUNT(R5,S5)=0,"",MIN(R5,S5))</f>
        <v/>
      </c>
      <c r="U5" s="19">
        <f>IF(OR(O5="",T5=""),"",O5/T5)</f>
        <v/>
      </c>
      <c r="V5" s="18">
        <f>IF(T5="","",ROUNDDOWN(T5*(1-설정!$B$3),-2))</f>
        <v/>
      </c>
      <c r="W5" s="17" t="n"/>
      <c r="X5" s="18">
        <f>IF(W5&lt;&gt;"",W5,V5)</f>
        <v/>
      </c>
      <c r="Y5" s="18">
        <f>IF(X5="","",X5*설정!$B$4)</f>
        <v/>
      </c>
      <c r="Z5" s="18">
        <f>IF(OR(X5="",O5=""),"",X5-Y5-O5-설정!$B$7)</f>
        <v/>
      </c>
      <c r="AA5" s="19">
        <f>IF(OR(Z5="",X5=0),"",Z5/X5)</f>
        <v/>
      </c>
      <c r="AB5" s="18">
        <f>IF(OR(T5="",O5=""),"",(T5+설정!$B$10)*(1-설정!$B$5)-O5)</f>
        <v/>
      </c>
      <c r="AC5" s="18">
        <f>IF(OR(T5="",O5=""),"",(T5+설정!$B$10)*(1-설정!$B$6)-O5)</f>
        <v/>
      </c>
      <c r="AD5" s="14">
        <f>IF(B5="","",IF(OR(O5="",T5=""),"가격 입력 필요",IF(Z5&lt;=0,"❌ 제외",IF(AND(P5="도매꾹",N5&gt;1),"⚠️ 최소수량 확인",IF(AND(AA5&gt;=설정!$B$8,Z5&gt;=설정!$B$9),"✅ 판매추천",IF(Z5&gt;0,"⚠️ 마진부족","❌ 제외"))))))</f>
        <v/>
      </c>
      <c r="AE5" s="15" t="inlineStr">
        <is>
          <t>가상 예시 · 스페셜오퍼 출고 최우수/취소 0%</t>
        </is>
      </c>
    </row>
    <row r="6">
      <c r="A6" s="14" t="n">
        <v>2</v>
      </c>
      <c r="B6" s="15" t="inlineStr">
        <is>
          <t>[예시] 휴대용 미니 선풍기</t>
        </is>
      </c>
      <c r="C6" s="15" t="inlineStr">
        <is>
          <t>USB충전</t>
        </is>
      </c>
      <c r="D6" s="16" t="inlineStr">
        <is>
          <t>계절가전</t>
        </is>
      </c>
      <c r="E6" s="17" t="n">
        <v>4500</v>
      </c>
      <c r="F6" s="17" t="n">
        <v>3000</v>
      </c>
      <c r="G6" s="18">
        <f>IF(E6="","",E6+F6)</f>
        <v/>
      </c>
      <c r="H6" s="17" t="n">
        <v>4300</v>
      </c>
      <c r="I6" s="17" t="n">
        <v>3000</v>
      </c>
      <c r="J6" s="18">
        <f>IF(H6="","",H6+I6)</f>
        <v/>
      </c>
      <c r="K6" s="17" t="n">
        <v>3900</v>
      </c>
      <c r="L6" s="17" t="n">
        <v>3000</v>
      </c>
      <c r="M6" s="18">
        <f>IF(K6="","",K6+L6)</f>
        <v/>
      </c>
      <c r="N6" s="16" t="n">
        <v>10</v>
      </c>
      <c r="O6" s="18">
        <f>IF(COUNT(G6,J6,M6)=0,"",MIN(G6,J6,M6))</f>
        <v/>
      </c>
      <c r="P6" s="14">
        <f>IF(O6="","",IF(O6=G6,"스페셜오퍼",IF(O6=J6,"도매매","도매꾹")))</f>
        <v/>
      </c>
      <c r="Q6" s="18">
        <f>IF(COUNT(G6,J6,M6)&lt;2,"",MAX(G6,J6,M6)-MIN(G6,J6,M6))</f>
        <v/>
      </c>
      <c r="R6" s="17" t="n">
        <v>8900</v>
      </c>
      <c r="S6" s="17" t="n">
        <v>8500</v>
      </c>
      <c r="T6" s="18">
        <f>IF(COUNT(R6,S6)=0,"",MIN(R6,S6))</f>
        <v/>
      </c>
      <c r="U6" s="19">
        <f>IF(OR(O6="",T6=""),"",O6/T6)</f>
        <v/>
      </c>
      <c r="V6" s="18">
        <f>IF(T6="","",ROUNDDOWN(T6*(1-설정!$B$3),-2))</f>
        <v/>
      </c>
      <c r="W6" s="17" t="n"/>
      <c r="X6" s="18">
        <f>IF(W6&lt;&gt;"",W6,V6)</f>
        <v/>
      </c>
      <c r="Y6" s="18">
        <f>IF(X6="","",X6*설정!$B$4)</f>
        <v/>
      </c>
      <c r="Z6" s="18">
        <f>IF(OR(X6="",O6=""),"",X6-Y6-O6-설정!$B$7)</f>
        <v/>
      </c>
      <c r="AA6" s="19">
        <f>IF(OR(Z6="",X6=0),"",Z6/X6)</f>
        <v/>
      </c>
      <c r="AB6" s="18">
        <f>IF(OR(T6="",O6=""),"",(T6+설정!$B$10)*(1-설정!$B$5)-O6)</f>
        <v/>
      </c>
      <c r="AC6" s="18">
        <f>IF(OR(T6="",O6=""),"",(T6+설정!$B$10)*(1-설정!$B$6)-O6)</f>
        <v/>
      </c>
      <c r="AD6" s="14">
        <f>IF(B6="","",IF(OR(O6="",T6=""),"가격 입력 필요",IF(Z6&lt;=0,"❌ 제외",IF(AND(P6="도매꾹",N6&gt;1),"⚠️ 최소수량 확인",IF(AND(AA6&gt;=설정!$B$8,Z6&gt;=설정!$B$9),"✅ 판매추천",IF(Z6&gt;0,"⚠️ 마진부족","❌ 제외"))))))</f>
        <v/>
      </c>
      <c r="AE6" s="15" t="inlineStr">
        <is>
          <t>가상 예시 · 도매꾹 최소 10개 → 위탁 불가, 재확인</t>
        </is>
      </c>
    </row>
    <row r="7">
      <c r="A7" s="14" t="n">
        <v>3</v>
      </c>
      <c r="B7" s="15" t="n"/>
      <c r="C7" s="15" t="n"/>
      <c r="D7" s="16" t="n"/>
      <c r="E7" s="17" t="n"/>
      <c r="F7" s="17" t="n"/>
      <c r="G7" s="18">
        <f>IF(E7="","",E7+F7)</f>
        <v/>
      </c>
      <c r="H7" s="17" t="n"/>
      <c r="I7" s="17" t="n"/>
      <c r="J7" s="18">
        <f>IF(H7="","",H7+I7)</f>
        <v/>
      </c>
      <c r="K7" s="17" t="n"/>
      <c r="L7" s="17" t="n"/>
      <c r="M7" s="18">
        <f>IF(K7="","",K7+L7)</f>
        <v/>
      </c>
      <c r="N7" s="16" t="n"/>
      <c r="O7" s="18">
        <f>IF(COUNT(G7,J7,M7)=0,"",MIN(G7,J7,M7))</f>
        <v/>
      </c>
      <c r="P7" s="14">
        <f>IF(O7="","",IF(O7=G7,"스페셜오퍼",IF(O7=J7,"도매매","도매꾹")))</f>
        <v/>
      </c>
      <c r="Q7" s="18">
        <f>IF(COUNT(G7,J7,M7)&lt;2,"",MAX(G7,J7,M7)-MIN(G7,J7,M7))</f>
        <v/>
      </c>
      <c r="R7" s="17" t="n"/>
      <c r="S7" s="17" t="n"/>
      <c r="T7" s="18">
        <f>IF(COUNT(R7,S7)=0,"",MIN(R7,S7))</f>
        <v/>
      </c>
      <c r="U7" s="19">
        <f>IF(OR(O7="",T7=""),"",O7/T7)</f>
        <v/>
      </c>
      <c r="V7" s="18">
        <f>IF(T7="","",ROUNDDOWN(T7*(1-설정!$B$3),-2))</f>
        <v/>
      </c>
      <c r="W7" s="17" t="n"/>
      <c r="X7" s="18">
        <f>IF(W7&lt;&gt;"",W7,V7)</f>
        <v/>
      </c>
      <c r="Y7" s="18">
        <f>IF(X7="","",X7*설정!$B$4)</f>
        <v/>
      </c>
      <c r="Z7" s="18">
        <f>IF(OR(X7="",O7=""),"",X7-Y7-O7-설정!$B$7)</f>
        <v/>
      </c>
      <c r="AA7" s="19">
        <f>IF(OR(Z7="",X7=0),"",Z7/X7)</f>
        <v/>
      </c>
      <c r="AB7" s="18">
        <f>IF(OR(T7="",O7=""),"",(T7+설정!$B$10)*(1-설정!$B$5)-O7)</f>
        <v/>
      </c>
      <c r="AC7" s="18">
        <f>IF(OR(T7="",O7=""),"",(T7+설정!$B$10)*(1-설정!$B$6)-O7)</f>
        <v/>
      </c>
      <c r="AD7" s="14">
        <f>IF(B7="","",IF(OR(O7="",T7=""),"가격 입력 필요",IF(Z7&lt;=0,"❌ 제외",IF(AND(P7="도매꾹",N7&gt;1),"⚠️ 최소수량 확인",IF(AND(AA7&gt;=설정!$B$8,Z7&gt;=설정!$B$9),"✅ 판매추천",IF(Z7&gt;0,"⚠️ 마진부족","❌ 제외"))))))</f>
        <v/>
      </c>
      <c r="AE7" s="15" t="n"/>
    </row>
    <row r="8">
      <c r="A8" s="14" t="n">
        <v>4</v>
      </c>
      <c r="B8" s="15" t="n"/>
      <c r="C8" s="15" t="n"/>
      <c r="D8" s="16" t="n"/>
      <c r="E8" s="17" t="n"/>
      <c r="F8" s="17" t="n"/>
      <c r="G8" s="18">
        <f>IF(E8="","",E8+F8)</f>
        <v/>
      </c>
      <c r="H8" s="17" t="n"/>
      <c r="I8" s="17" t="n"/>
      <c r="J8" s="18">
        <f>IF(H8="","",H8+I8)</f>
        <v/>
      </c>
      <c r="K8" s="17" t="n"/>
      <c r="L8" s="17" t="n"/>
      <c r="M8" s="18">
        <f>IF(K8="","",K8+L8)</f>
        <v/>
      </c>
      <c r="N8" s="16" t="n"/>
      <c r="O8" s="18">
        <f>IF(COUNT(G8,J8,M8)=0,"",MIN(G8,J8,M8))</f>
        <v/>
      </c>
      <c r="P8" s="14">
        <f>IF(O8="","",IF(O8=G8,"스페셜오퍼",IF(O8=J8,"도매매","도매꾹")))</f>
        <v/>
      </c>
      <c r="Q8" s="18">
        <f>IF(COUNT(G8,J8,M8)&lt;2,"",MAX(G8,J8,M8)-MIN(G8,J8,M8))</f>
        <v/>
      </c>
      <c r="R8" s="17" t="n"/>
      <c r="S8" s="17" t="n"/>
      <c r="T8" s="18">
        <f>IF(COUNT(R8,S8)=0,"",MIN(R8,S8))</f>
        <v/>
      </c>
      <c r="U8" s="19">
        <f>IF(OR(O8="",T8=""),"",O8/T8)</f>
        <v/>
      </c>
      <c r="V8" s="18">
        <f>IF(T8="","",ROUNDDOWN(T8*(1-설정!$B$3),-2))</f>
        <v/>
      </c>
      <c r="W8" s="17" t="n"/>
      <c r="X8" s="18">
        <f>IF(W8&lt;&gt;"",W8,V8)</f>
        <v/>
      </c>
      <c r="Y8" s="18">
        <f>IF(X8="","",X8*설정!$B$4)</f>
        <v/>
      </c>
      <c r="Z8" s="18">
        <f>IF(OR(X8="",O8=""),"",X8-Y8-O8-설정!$B$7)</f>
        <v/>
      </c>
      <c r="AA8" s="19">
        <f>IF(OR(Z8="",X8=0),"",Z8/X8)</f>
        <v/>
      </c>
      <c r="AB8" s="18">
        <f>IF(OR(T8="",O8=""),"",(T8+설정!$B$10)*(1-설정!$B$5)-O8)</f>
        <v/>
      </c>
      <c r="AC8" s="18">
        <f>IF(OR(T8="",O8=""),"",(T8+설정!$B$10)*(1-설정!$B$6)-O8)</f>
        <v/>
      </c>
      <c r="AD8" s="14">
        <f>IF(B8="","",IF(OR(O8="",T8=""),"가격 입력 필요",IF(Z8&lt;=0,"❌ 제외",IF(AND(P8="도매꾹",N8&gt;1),"⚠️ 최소수량 확인",IF(AND(AA8&gt;=설정!$B$8,Z8&gt;=설정!$B$9),"✅ 판매추천",IF(Z8&gt;0,"⚠️ 마진부족","❌ 제외"))))))</f>
        <v/>
      </c>
      <c r="AE8" s="15" t="n"/>
    </row>
    <row r="9">
      <c r="A9" s="14" t="n">
        <v>5</v>
      </c>
      <c r="B9" s="15" t="n"/>
      <c r="C9" s="15" t="n"/>
      <c r="D9" s="16" t="n"/>
      <c r="E9" s="17" t="n"/>
      <c r="F9" s="17" t="n"/>
      <c r="G9" s="18">
        <f>IF(E9="","",E9+F9)</f>
        <v/>
      </c>
      <c r="H9" s="17" t="n"/>
      <c r="I9" s="17" t="n"/>
      <c r="J9" s="18">
        <f>IF(H9="","",H9+I9)</f>
        <v/>
      </c>
      <c r="K9" s="17" t="n"/>
      <c r="L9" s="17" t="n"/>
      <c r="M9" s="18">
        <f>IF(K9="","",K9+L9)</f>
        <v/>
      </c>
      <c r="N9" s="16" t="n"/>
      <c r="O9" s="18">
        <f>IF(COUNT(G9,J9,M9)=0,"",MIN(G9,J9,M9))</f>
        <v/>
      </c>
      <c r="P9" s="14">
        <f>IF(O9="","",IF(O9=G9,"스페셜오퍼",IF(O9=J9,"도매매","도매꾹")))</f>
        <v/>
      </c>
      <c r="Q9" s="18">
        <f>IF(COUNT(G9,J9,M9)&lt;2,"",MAX(G9,J9,M9)-MIN(G9,J9,M9))</f>
        <v/>
      </c>
      <c r="R9" s="17" t="n"/>
      <c r="S9" s="17" t="n"/>
      <c r="T9" s="18">
        <f>IF(COUNT(R9,S9)=0,"",MIN(R9,S9))</f>
        <v/>
      </c>
      <c r="U9" s="19">
        <f>IF(OR(O9="",T9=""),"",O9/T9)</f>
        <v/>
      </c>
      <c r="V9" s="18">
        <f>IF(T9="","",ROUNDDOWN(T9*(1-설정!$B$3),-2))</f>
        <v/>
      </c>
      <c r="W9" s="17" t="n"/>
      <c r="X9" s="18">
        <f>IF(W9&lt;&gt;"",W9,V9)</f>
        <v/>
      </c>
      <c r="Y9" s="18">
        <f>IF(X9="","",X9*설정!$B$4)</f>
        <v/>
      </c>
      <c r="Z9" s="18">
        <f>IF(OR(X9="",O9=""),"",X9-Y9-O9-설정!$B$7)</f>
        <v/>
      </c>
      <c r="AA9" s="19">
        <f>IF(OR(Z9="",X9=0),"",Z9/X9)</f>
        <v/>
      </c>
      <c r="AB9" s="18">
        <f>IF(OR(T9="",O9=""),"",(T9+설정!$B$10)*(1-설정!$B$5)-O9)</f>
        <v/>
      </c>
      <c r="AC9" s="18">
        <f>IF(OR(T9="",O9=""),"",(T9+설정!$B$10)*(1-설정!$B$6)-O9)</f>
        <v/>
      </c>
      <c r="AD9" s="14">
        <f>IF(B9="","",IF(OR(O9="",T9=""),"가격 입력 필요",IF(Z9&lt;=0,"❌ 제외",IF(AND(P9="도매꾹",N9&gt;1),"⚠️ 최소수량 확인",IF(AND(AA9&gt;=설정!$B$8,Z9&gt;=설정!$B$9),"✅ 판매추천",IF(Z9&gt;0,"⚠️ 마진부족","❌ 제외"))))))</f>
        <v/>
      </c>
      <c r="AE9" s="15" t="n"/>
    </row>
    <row r="10">
      <c r="A10" s="14" t="n">
        <v>6</v>
      </c>
      <c r="B10" s="15" t="n"/>
      <c r="C10" s="15" t="n"/>
      <c r="D10" s="16" t="n"/>
      <c r="E10" s="17" t="n"/>
      <c r="F10" s="17" t="n"/>
      <c r="G10" s="18">
        <f>IF(E10="","",E10+F10)</f>
        <v/>
      </c>
      <c r="H10" s="17" t="n"/>
      <c r="I10" s="17" t="n"/>
      <c r="J10" s="18">
        <f>IF(H10="","",H10+I10)</f>
        <v/>
      </c>
      <c r="K10" s="17" t="n"/>
      <c r="L10" s="17" t="n"/>
      <c r="M10" s="18">
        <f>IF(K10="","",K10+L10)</f>
        <v/>
      </c>
      <c r="N10" s="16" t="n"/>
      <c r="O10" s="18">
        <f>IF(COUNT(G10,J10,M10)=0,"",MIN(G10,J10,M10))</f>
        <v/>
      </c>
      <c r="P10" s="14">
        <f>IF(O10="","",IF(O10=G10,"스페셜오퍼",IF(O10=J10,"도매매","도매꾹")))</f>
        <v/>
      </c>
      <c r="Q10" s="18">
        <f>IF(COUNT(G10,J10,M10)&lt;2,"",MAX(G10,J10,M10)-MIN(G10,J10,M10))</f>
        <v/>
      </c>
      <c r="R10" s="17" t="n"/>
      <c r="S10" s="17" t="n"/>
      <c r="T10" s="18">
        <f>IF(COUNT(R10,S10)=0,"",MIN(R10,S10))</f>
        <v/>
      </c>
      <c r="U10" s="19">
        <f>IF(OR(O10="",T10=""),"",O10/T10)</f>
        <v/>
      </c>
      <c r="V10" s="18">
        <f>IF(T10="","",ROUNDDOWN(T10*(1-설정!$B$3),-2))</f>
        <v/>
      </c>
      <c r="W10" s="17" t="n"/>
      <c r="X10" s="18">
        <f>IF(W10&lt;&gt;"",W10,V10)</f>
        <v/>
      </c>
      <c r="Y10" s="18">
        <f>IF(X10="","",X10*설정!$B$4)</f>
        <v/>
      </c>
      <c r="Z10" s="18">
        <f>IF(OR(X10="",O10=""),"",X10-Y10-O10-설정!$B$7)</f>
        <v/>
      </c>
      <c r="AA10" s="19">
        <f>IF(OR(Z10="",X10=0),"",Z10/X10)</f>
        <v/>
      </c>
      <c r="AB10" s="18">
        <f>IF(OR(T10="",O10=""),"",(T10+설정!$B$10)*(1-설정!$B$5)-O10)</f>
        <v/>
      </c>
      <c r="AC10" s="18">
        <f>IF(OR(T10="",O10=""),"",(T10+설정!$B$10)*(1-설정!$B$6)-O10)</f>
        <v/>
      </c>
      <c r="AD10" s="14">
        <f>IF(B10="","",IF(OR(O10="",T10=""),"가격 입력 필요",IF(Z10&lt;=0,"❌ 제외",IF(AND(P10="도매꾹",N10&gt;1),"⚠️ 최소수량 확인",IF(AND(AA10&gt;=설정!$B$8,Z10&gt;=설정!$B$9),"✅ 판매추천",IF(Z10&gt;0,"⚠️ 마진부족","❌ 제외"))))))</f>
        <v/>
      </c>
      <c r="AE10" s="15" t="n"/>
    </row>
    <row r="11">
      <c r="A11" s="14" t="n">
        <v>7</v>
      </c>
      <c r="B11" s="15" t="n"/>
      <c r="C11" s="15" t="n"/>
      <c r="D11" s="16" t="n"/>
      <c r="E11" s="17" t="n"/>
      <c r="F11" s="17" t="n"/>
      <c r="G11" s="18">
        <f>IF(E11="","",E11+F11)</f>
        <v/>
      </c>
      <c r="H11" s="17" t="n"/>
      <c r="I11" s="17" t="n"/>
      <c r="J11" s="18">
        <f>IF(H11="","",H11+I11)</f>
        <v/>
      </c>
      <c r="K11" s="17" t="n"/>
      <c r="L11" s="17" t="n"/>
      <c r="M11" s="18">
        <f>IF(K11="","",K11+L11)</f>
        <v/>
      </c>
      <c r="N11" s="16" t="n"/>
      <c r="O11" s="18">
        <f>IF(COUNT(G11,J11,M11)=0,"",MIN(G11,J11,M11))</f>
        <v/>
      </c>
      <c r="P11" s="14">
        <f>IF(O11="","",IF(O11=G11,"스페셜오퍼",IF(O11=J11,"도매매","도매꾹")))</f>
        <v/>
      </c>
      <c r="Q11" s="18">
        <f>IF(COUNT(G11,J11,M11)&lt;2,"",MAX(G11,J11,M11)-MIN(G11,J11,M11))</f>
        <v/>
      </c>
      <c r="R11" s="17" t="n"/>
      <c r="S11" s="17" t="n"/>
      <c r="T11" s="18">
        <f>IF(COUNT(R11,S11)=0,"",MIN(R11,S11))</f>
        <v/>
      </c>
      <c r="U11" s="19">
        <f>IF(OR(O11="",T11=""),"",O11/T11)</f>
        <v/>
      </c>
      <c r="V11" s="18">
        <f>IF(T11="","",ROUNDDOWN(T11*(1-설정!$B$3),-2))</f>
        <v/>
      </c>
      <c r="W11" s="17" t="n"/>
      <c r="X11" s="18">
        <f>IF(W11&lt;&gt;"",W11,V11)</f>
        <v/>
      </c>
      <c r="Y11" s="18">
        <f>IF(X11="","",X11*설정!$B$4)</f>
        <v/>
      </c>
      <c r="Z11" s="18">
        <f>IF(OR(X11="",O11=""),"",X11-Y11-O11-설정!$B$7)</f>
        <v/>
      </c>
      <c r="AA11" s="19">
        <f>IF(OR(Z11="",X11=0),"",Z11/X11)</f>
        <v/>
      </c>
      <c r="AB11" s="18">
        <f>IF(OR(T11="",O11=""),"",(T11+설정!$B$10)*(1-설정!$B$5)-O11)</f>
        <v/>
      </c>
      <c r="AC11" s="18">
        <f>IF(OR(T11="",O11=""),"",(T11+설정!$B$10)*(1-설정!$B$6)-O11)</f>
        <v/>
      </c>
      <c r="AD11" s="14">
        <f>IF(B11="","",IF(OR(O11="",T11=""),"가격 입력 필요",IF(Z11&lt;=0,"❌ 제외",IF(AND(P11="도매꾹",N11&gt;1),"⚠️ 최소수량 확인",IF(AND(AA11&gt;=설정!$B$8,Z11&gt;=설정!$B$9),"✅ 판매추천",IF(Z11&gt;0,"⚠️ 마진부족","❌ 제외"))))))</f>
        <v/>
      </c>
      <c r="AE11" s="15" t="n"/>
    </row>
    <row r="12">
      <c r="A12" s="14" t="n">
        <v>8</v>
      </c>
      <c r="B12" s="15" t="n"/>
      <c r="C12" s="15" t="n"/>
      <c r="D12" s="16" t="n"/>
      <c r="E12" s="17" t="n"/>
      <c r="F12" s="17" t="n"/>
      <c r="G12" s="18">
        <f>IF(E12="","",E12+F12)</f>
        <v/>
      </c>
      <c r="H12" s="17" t="n"/>
      <c r="I12" s="17" t="n"/>
      <c r="J12" s="18">
        <f>IF(H12="","",H12+I12)</f>
        <v/>
      </c>
      <c r="K12" s="17" t="n"/>
      <c r="L12" s="17" t="n"/>
      <c r="M12" s="18">
        <f>IF(K12="","",K12+L12)</f>
        <v/>
      </c>
      <c r="N12" s="16" t="n"/>
      <c r="O12" s="18">
        <f>IF(COUNT(G12,J12,M12)=0,"",MIN(G12,J12,M12))</f>
        <v/>
      </c>
      <c r="P12" s="14">
        <f>IF(O12="","",IF(O12=G12,"스페셜오퍼",IF(O12=J12,"도매매","도매꾹")))</f>
        <v/>
      </c>
      <c r="Q12" s="18">
        <f>IF(COUNT(G12,J12,M12)&lt;2,"",MAX(G12,J12,M12)-MIN(G12,J12,M12))</f>
        <v/>
      </c>
      <c r="R12" s="17" t="n"/>
      <c r="S12" s="17" t="n"/>
      <c r="T12" s="18">
        <f>IF(COUNT(R12,S12)=0,"",MIN(R12,S12))</f>
        <v/>
      </c>
      <c r="U12" s="19">
        <f>IF(OR(O12="",T12=""),"",O12/T12)</f>
        <v/>
      </c>
      <c r="V12" s="18">
        <f>IF(T12="","",ROUNDDOWN(T12*(1-설정!$B$3),-2))</f>
        <v/>
      </c>
      <c r="W12" s="17" t="n"/>
      <c r="X12" s="18">
        <f>IF(W12&lt;&gt;"",W12,V12)</f>
        <v/>
      </c>
      <c r="Y12" s="18">
        <f>IF(X12="","",X12*설정!$B$4)</f>
        <v/>
      </c>
      <c r="Z12" s="18">
        <f>IF(OR(X12="",O12=""),"",X12-Y12-O12-설정!$B$7)</f>
        <v/>
      </c>
      <c r="AA12" s="19">
        <f>IF(OR(Z12="",X12=0),"",Z12/X12)</f>
        <v/>
      </c>
      <c r="AB12" s="18">
        <f>IF(OR(T12="",O12=""),"",(T12+설정!$B$10)*(1-설정!$B$5)-O12)</f>
        <v/>
      </c>
      <c r="AC12" s="18">
        <f>IF(OR(T12="",O12=""),"",(T12+설정!$B$10)*(1-설정!$B$6)-O12)</f>
        <v/>
      </c>
      <c r="AD12" s="14">
        <f>IF(B12="","",IF(OR(O12="",T12=""),"가격 입력 필요",IF(Z12&lt;=0,"❌ 제외",IF(AND(P12="도매꾹",N12&gt;1),"⚠️ 최소수량 확인",IF(AND(AA12&gt;=설정!$B$8,Z12&gt;=설정!$B$9),"✅ 판매추천",IF(Z12&gt;0,"⚠️ 마진부족","❌ 제외"))))))</f>
        <v/>
      </c>
      <c r="AE12" s="15" t="n"/>
    </row>
    <row r="13">
      <c r="A13" s="14" t="n">
        <v>9</v>
      </c>
      <c r="B13" s="15" t="n"/>
      <c r="C13" s="15" t="n"/>
      <c r="D13" s="16" t="n"/>
      <c r="E13" s="17" t="n"/>
      <c r="F13" s="17" t="n"/>
      <c r="G13" s="18">
        <f>IF(E13="","",E13+F13)</f>
        <v/>
      </c>
      <c r="H13" s="17" t="n"/>
      <c r="I13" s="17" t="n"/>
      <c r="J13" s="18">
        <f>IF(H13="","",H13+I13)</f>
        <v/>
      </c>
      <c r="K13" s="17" t="n"/>
      <c r="L13" s="17" t="n"/>
      <c r="M13" s="18">
        <f>IF(K13="","",K13+L13)</f>
        <v/>
      </c>
      <c r="N13" s="16" t="n"/>
      <c r="O13" s="18">
        <f>IF(COUNT(G13,J13,M13)=0,"",MIN(G13,J13,M13))</f>
        <v/>
      </c>
      <c r="P13" s="14">
        <f>IF(O13="","",IF(O13=G13,"스페셜오퍼",IF(O13=J13,"도매매","도매꾹")))</f>
        <v/>
      </c>
      <c r="Q13" s="18">
        <f>IF(COUNT(G13,J13,M13)&lt;2,"",MAX(G13,J13,M13)-MIN(G13,J13,M13))</f>
        <v/>
      </c>
      <c r="R13" s="17" t="n"/>
      <c r="S13" s="17" t="n"/>
      <c r="T13" s="18">
        <f>IF(COUNT(R13,S13)=0,"",MIN(R13,S13))</f>
        <v/>
      </c>
      <c r="U13" s="19">
        <f>IF(OR(O13="",T13=""),"",O13/T13)</f>
        <v/>
      </c>
      <c r="V13" s="18">
        <f>IF(T13="","",ROUNDDOWN(T13*(1-설정!$B$3),-2))</f>
        <v/>
      </c>
      <c r="W13" s="17" t="n"/>
      <c r="X13" s="18">
        <f>IF(W13&lt;&gt;"",W13,V13)</f>
        <v/>
      </c>
      <c r="Y13" s="18">
        <f>IF(X13="","",X13*설정!$B$4)</f>
        <v/>
      </c>
      <c r="Z13" s="18">
        <f>IF(OR(X13="",O13=""),"",X13-Y13-O13-설정!$B$7)</f>
        <v/>
      </c>
      <c r="AA13" s="19">
        <f>IF(OR(Z13="",X13=0),"",Z13/X13)</f>
        <v/>
      </c>
      <c r="AB13" s="18">
        <f>IF(OR(T13="",O13=""),"",(T13+설정!$B$10)*(1-설정!$B$5)-O13)</f>
        <v/>
      </c>
      <c r="AC13" s="18">
        <f>IF(OR(T13="",O13=""),"",(T13+설정!$B$10)*(1-설정!$B$6)-O13)</f>
        <v/>
      </c>
      <c r="AD13" s="14">
        <f>IF(B13="","",IF(OR(O13="",T13=""),"가격 입력 필요",IF(Z13&lt;=0,"❌ 제외",IF(AND(P13="도매꾹",N13&gt;1),"⚠️ 최소수량 확인",IF(AND(AA13&gt;=설정!$B$8,Z13&gt;=설정!$B$9),"✅ 판매추천",IF(Z13&gt;0,"⚠️ 마진부족","❌ 제외"))))))</f>
        <v/>
      </c>
      <c r="AE13" s="15" t="n"/>
    </row>
    <row r="14">
      <c r="A14" s="14" t="n">
        <v>10</v>
      </c>
      <c r="B14" s="15" t="n"/>
      <c r="C14" s="15" t="n"/>
      <c r="D14" s="16" t="n"/>
      <c r="E14" s="17" t="n"/>
      <c r="F14" s="17" t="n"/>
      <c r="G14" s="18">
        <f>IF(E14="","",E14+F14)</f>
        <v/>
      </c>
      <c r="H14" s="17" t="n"/>
      <c r="I14" s="17" t="n"/>
      <c r="J14" s="18">
        <f>IF(H14="","",H14+I14)</f>
        <v/>
      </c>
      <c r="K14" s="17" t="n"/>
      <c r="L14" s="17" t="n"/>
      <c r="M14" s="18">
        <f>IF(K14="","",K14+L14)</f>
        <v/>
      </c>
      <c r="N14" s="16" t="n"/>
      <c r="O14" s="18">
        <f>IF(COUNT(G14,J14,M14)=0,"",MIN(G14,J14,M14))</f>
        <v/>
      </c>
      <c r="P14" s="14">
        <f>IF(O14="","",IF(O14=G14,"스페셜오퍼",IF(O14=J14,"도매매","도매꾹")))</f>
        <v/>
      </c>
      <c r="Q14" s="18">
        <f>IF(COUNT(G14,J14,M14)&lt;2,"",MAX(G14,J14,M14)-MIN(G14,J14,M14))</f>
        <v/>
      </c>
      <c r="R14" s="17" t="n"/>
      <c r="S14" s="17" t="n"/>
      <c r="T14" s="18">
        <f>IF(COUNT(R14,S14)=0,"",MIN(R14,S14))</f>
        <v/>
      </c>
      <c r="U14" s="19">
        <f>IF(OR(O14="",T14=""),"",O14/T14)</f>
        <v/>
      </c>
      <c r="V14" s="18">
        <f>IF(T14="","",ROUNDDOWN(T14*(1-설정!$B$3),-2))</f>
        <v/>
      </c>
      <c r="W14" s="17" t="n"/>
      <c r="X14" s="18">
        <f>IF(W14&lt;&gt;"",W14,V14)</f>
        <v/>
      </c>
      <c r="Y14" s="18">
        <f>IF(X14="","",X14*설정!$B$4)</f>
        <v/>
      </c>
      <c r="Z14" s="18">
        <f>IF(OR(X14="",O14=""),"",X14-Y14-O14-설정!$B$7)</f>
        <v/>
      </c>
      <c r="AA14" s="19">
        <f>IF(OR(Z14="",X14=0),"",Z14/X14)</f>
        <v/>
      </c>
      <c r="AB14" s="18">
        <f>IF(OR(T14="",O14=""),"",(T14+설정!$B$10)*(1-설정!$B$5)-O14)</f>
        <v/>
      </c>
      <c r="AC14" s="18">
        <f>IF(OR(T14="",O14=""),"",(T14+설정!$B$10)*(1-설정!$B$6)-O14)</f>
        <v/>
      </c>
      <c r="AD14" s="14">
        <f>IF(B14="","",IF(OR(O14="",T14=""),"가격 입력 필요",IF(Z14&lt;=0,"❌ 제외",IF(AND(P14="도매꾹",N14&gt;1),"⚠️ 최소수량 확인",IF(AND(AA14&gt;=설정!$B$8,Z14&gt;=설정!$B$9),"✅ 판매추천",IF(Z14&gt;0,"⚠️ 마진부족","❌ 제외"))))))</f>
        <v/>
      </c>
      <c r="AE14" s="15" t="n"/>
    </row>
    <row r="15">
      <c r="A15" s="14" t="n">
        <v>11</v>
      </c>
      <c r="B15" s="15" t="n"/>
      <c r="C15" s="15" t="n"/>
      <c r="D15" s="16" t="n"/>
      <c r="E15" s="17" t="n"/>
      <c r="F15" s="17" t="n"/>
      <c r="G15" s="18">
        <f>IF(E15="","",E15+F15)</f>
        <v/>
      </c>
      <c r="H15" s="17" t="n"/>
      <c r="I15" s="17" t="n"/>
      <c r="J15" s="18">
        <f>IF(H15="","",H15+I15)</f>
        <v/>
      </c>
      <c r="K15" s="17" t="n"/>
      <c r="L15" s="17" t="n"/>
      <c r="M15" s="18">
        <f>IF(K15="","",K15+L15)</f>
        <v/>
      </c>
      <c r="N15" s="16" t="n"/>
      <c r="O15" s="18">
        <f>IF(COUNT(G15,J15,M15)=0,"",MIN(G15,J15,M15))</f>
        <v/>
      </c>
      <c r="P15" s="14">
        <f>IF(O15="","",IF(O15=G15,"스페셜오퍼",IF(O15=J15,"도매매","도매꾹")))</f>
        <v/>
      </c>
      <c r="Q15" s="18">
        <f>IF(COUNT(G15,J15,M15)&lt;2,"",MAX(G15,J15,M15)-MIN(G15,J15,M15))</f>
        <v/>
      </c>
      <c r="R15" s="17" t="n"/>
      <c r="S15" s="17" t="n"/>
      <c r="T15" s="18">
        <f>IF(COUNT(R15,S15)=0,"",MIN(R15,S15))</f>
        <v/>
      </c>
      <c r="U15" s="19">
        <f>IF(OR(O15="",T15=""),"",O15/T15)</f>
        <v/>
      </c>
      <c r="V15" s="18">
        <f>IF(T15="","",ROUNDDOWN(T15*(1-설정!$B$3),-2))</f>
        <v/>
      </c>
      <c r="W15" s="17" t="n"/>
      <c r="X15" s="18">
        <f>IF(W15&lt;&gt;"",W15,V15)</f>
        <v/>
      </c>
      <c r="Y15" s="18">
        <f>IF(X15="","",X15*설정!$B$4)</f>
        <v/>
      </c>
      <c r="Z15" s="18">
        <f>IF(OR(X15="",O15=""),"",X15-Y15-O15-설정!$B$7)</f>
        <v/>
      </c>
      <c r="AA15" s="19">
        <f>IF(OR(Z15="",X15=0),"",Z15/X15)</f>
        <v/>
      </c>
      <c r="AB15" s="18">
        <f>IF(OR(T15="",O15=""),"",(T15+설정!$B$10)*(1-설정!$B$5)-O15)</f>
        <v/>
      </c>
      <c r="AC15" s="18">
        <f>IF(OR(T15="",O15=""),"",(T15+설정!$B$10)*(1-설정!$B$6)-O15)</f>
        <v/>
      </c>
      <c r="AD15" s="14">
        <f>IF(B15="","",IF(OR(O15="",T15=""),"가격 입력 필요",IF(Z15&lt;=0,"❌ 제외",IF(AND(P15="도매꾹",N15&gt;1),"⚠️ 최소수량 확인",IF(AND(AA15&gt;=설정!$B$8,Z15&gt;=설정!$B$9),"✅ 판매추천",IF(Z15&gt;0,"⚠️ 마진부족","❌ 제외"))))))</f>
        <v/>
      </c>
      <c r="AE15" s="15" t="n"/>
    </row>
    <row r="16">
      <c r="A16" s="14" t="n">
        <v>12</v>
      </c>
      <c r="B16" s="15" t="n"/>
      <c r="C16" s="15" t="n"/>
      <c r="D16" s="16" t="n"/>
      <c r="E16" s="17" t="n"/>
      <c r="F16" s="17" t="n"/>
      <c r="G16" s="18">
        <f>IF(E16="","",E16+F16)</f>
        <v/>
      </c>
      <c r="H16" s="17" t="n"/>
      <c r="I16" s="17" t="n"/>
      <c r="J16" s="18">
        <f>IF(H16="","",H16+I16)</f>
        <v/>
      </c>
      <c r="K16" s="17" t="n"/>
      <c r="L16" s="17" t="n"/>
      <c r="M16" s="18">
        <f>IF(K16="","",K16+L16)</f>
        <v/>
      </c>
      <c r="N16" s="16" t="n"/>
      <c r="O16" s="18">
        <f>IF(COUNT(G16,J16,M16)=0,"",MIN(G16,J16,M16))</f>
        <v/>
      </c>
      <c r="P16" s="14">
        <f>IF(O16="","",IF(O16=G16,"스페셜오퍼",IF(O16=J16,"도매매","도매꾹")))</f>
        <v/>
      </c>
      <c r="Q16" s="18">
        <f>IF(COUNT(G16,J16,M16)&lt;2,"",MAX(G16,J16,M16)-MIN(G16,J16,M16))</f>
        <v/>
      </c>
      <c r="R16" s="17" t="n"/>
      <c r="S16" s="17" t="n"/>
      <c r="T16" s="18">
        <f>IF(COUNT(R16,S16)=0,"",MIN(R16,S16))</f>
        <v/>
      </c>
      <c r="U16" s="19">
        <f>IF(OR(O16="",T16=""),"",O16/T16)</f>
        <v/>
      </c>
      <c r="V16" s="18">
        <f>IF(T16="","",ROUNDDOWN(T16*(1-설정!$B$3),-2))</f>
        <v/>
      </c>
      <c r="W16" s="17" t="n"/>
      <c r="X16" s="18">
        <f>IF(W16&lt;&gt;"",W16,V16)</f>
        <v/>
      </c>
      <c r="Y16" s="18">
        <f>IF(X16="","",X16*설정!$B$4)</f>
        <v/>
      </c>
      <c r="Z16" s="18">
        <f>IF(OR(X16="",O16=""),"",X16-Y16-O16-설정!$B$7)</f>
        <v/>
      </c>
      <c r="AA16" s="19">
        <f>IF(OR(Z16="",X16=0),"",Z16/X16)</f>
        <v/>
      </c>
      <c r="AB16" s="18">
        <f>IF(OR(T16="",O16=""),"",(T16+설정!$B$10)*(1-설정!$B$5)-O16)</f>
        <v/>
      </c>
      <c r="AC16" s="18">
        <f>IF(OR(T16="",O16=""),"",(T16+설정!$B$10)*(1-설정!$B$6)-O16)</f>
        <v/>
      </c>
      <c r="AD16" s="14">
        <f>IF(B16="","",IF(OR(O16="",T16=""),"가격 입력 필요",IF(Z16&lt;=0,"❌ 제외",IF(AND(P16="도매꾹",N16&gt;1),"⚠️ 최소수량 확인",IF(AND(AA16&gt;=설정!$B$8,Z16&gt;=설정!$B$9),"✅ 판매추천",IF(Z16&gt;0,"⚠️ 마진부족","❌ 제외"))))))</f>
        <v/>
      </c>
      <c r="AE16" s="15" t="n"/>
    </row>
    <row r="17">
      <c r="A17" s="14" t="n">
        <v>13</v>
      </c>
      <c r="B17" s="15" t="n"/>
      <c r="C17" s="15" t="n"/>
      <c r="D17" s="16" t="n"/>
      <c r="E17" s="17" t="n"/>
      <c r="F17" s="17" t="n"/>
      <c r="G17" s="18">
        <f>IF(E17="","",E17+F17)</f>
        <v/>
      </c>
      <c r="H17" s="17" t="n"/>
      <c r="I17" s="17" t="n"/>
      <c r="J17" s="18">
        <f>IF(H17="","",H17+I17)</f>
        <v/>
      </c>
      <c r="K17" s="17" t="n"/>
      <c r="L17" s="17" t="n"/>
      <c r="M17" s="18">
        <f>IF(K17="","",K17+L17)</f>
        <v/>
      </c>
      <c r="N17" s="16" t="n"/>
      <c r="O17" s="18">
        <f>IF(COUNT(G17,J17,M17)=0,"",MIN(G17,J17,M17))</f>
        <v/>
      </c>
      <c r="P17" s="14">
        <f>IF(O17="","",IF(O17=G17,"스페셜오퍼",IF(O17=J17,"도매매","도매꾹")))</f>
        <v/>
      </c>
      <c r="Q17" s="18">
        <f>IF(COUNT(G17,J17,M17)&lt;2,"",MAX(G17,J17,M17)-MIN(G17,J17,M17))</f>
        <v/>
      </c>
      <c r="R17" s="17" t="n"/>
      <c r="S17" s="17" t="n"/>
      <c r="T17" s="18">
        <f>IF(COUNT(R17,S17)=0,"",MIN(R17,S17))</f>
        <v/>
      </c>
      <c r="U17" s="19">
        <f>IF(OR(O17="",T17=""),"",O17/T17)</f>
        <v/>
      </c>
      <c r="V17" s="18">
        <f>IF(T17="","",ROUNDDOWN(T17*(1-설정!$B$3),-2))</f>
        <v/>
      </c>
      <c r="W17" s="17" t="n"/>
      <c r="X17" s="18">
        <f>IF(W17&lt;&gt;"",W17,V17)</f>
        <v/>
      </c>
      <c r="Y17" s="18">
        <f>IF(X17="","",X17*설정!$B$4)</f>
        <v/>
      </c>
      <c r="Z17" s="18">
        <f>IF(OR(X17="",O17=""),"",X17-Y17-O17-설정!$B$7)</f>
        <v/>
      </c>
      <c r="AA17" s="19">
        <f>IF(OR(Z17="",X17=0),"",Z17/X17)</f>
        <v/>
      </c>
      <c r="AB17" s="18">
        <f>IF(OR(T17="",O17=""),"",(T17+설정!$B$10)*(1-설정!$B$5)-O17)</f>
        <v/>
      </c>
      <c r="AC17" s="18">
        <f>IF(OR(T17="",O17=""),"",(T17+설정!$B$10)*(1-설정!$B$6)-O17)</f>
        <v/>
      </c>
      <c r="AD17" s="14">
        <f>IF(B17="","",IF(OR(O17="",T17=""),"가격 입력 필요",IF(Z17&lt;=0,"❌ 제외",IF(AND(P17="도매꾹",N17&gt;1),"⚠️ 최소수량 확인",IF(AND(AA17&gt;=설정!$B$8,Z17&gt;=설정!$B$9),"✅ 판매추천",IF(Z17&gt;0,"⚠️ 마진부족","❌ 제외"))))))</f>
        <v/>
      </c>
      <c r="AE17" s="15" t="n"/>
    </row>
    <row r="18">
      <c r="A18" s="14" t="n">
        <v>14</v>
      </c>
      <c r="B18" s="15" t="n"/>
      <c r="C18" s="15" t="n"/>
      <c r="D18" s="16" t="n"/>
      <c r="E18" s="17" t="n"/>
      <c r="F18" s="17" t="n"/>
      <c r="G18" s="18">
        <f>IF(E18="","",E18+F18)</f>
        <v/>
      </c>
      <c r="H18" s="17" t="n"/>
      <c r="I18" s="17" t="n"/>
      <c r="J18" s="18">
        <f>IF(H18="","",H18+I18)</f>
        <v/>
      </c>
      <c r="K18" s="17" t="n"/>
      <c r="L18" s="17" t="n"/>
      <c r="M18" s="18">
        <f>IF(K18="","",K18+L18)</f>
        <v/>
      </c>
      <c r="N18" s="16" t="n"/>
      <c r="O18" s="18">
        <f>IF(COUNT(G18,J18,M18)=0,"",MIN(G18,J18,M18))</f>
        <v/>
      </c>
      <c r="P18" s="14">
        <f>IF(O18="","",IF(O18=G18,"스페셜오퍼",IF(O18=J18,"도매매","도매꾹")))</f>
        <v/>
      </c>
      <c r="Q18" s="18">
        <f>IF(COUNT(G18,J18,M18)&lt;2,"",MAX(G18,J18,M18)-MIN(G18,J18,M18))</f>
        <v/>
      </c>
      <c r="R18" s="17" t="n"/>
      <c r="S18" s="17" t="n"/>
      <c r="T18" s="18">
        <f>IF(COUNT(R18,S18)=0,"",MIN(R18,S18))</f>
        <v/>
      </c>
      <c r="U18" s="19">
        <f>IF(OR(O18="",T18=""),"",O18/T18)</f>
        <v/>
      </c>
      <c r="V18" s="18">
        <f>IF(T18="","",ROUNDDOWN(T18*(1-설정!$B$3),-2))</f>
        <v/>
      </c>
      <c r="W18" s="17" t="n"/>
      <c r="X18" s="18">
        <f>IF(W18&lt;&gt;"",W18,V18)</f>
        <v/>
      </c>
      <c r="Y18" s="18">
        <f>IF(X18="","",X18*설정!$B$4)</f>
        <v/>
      </c>
      <c r="Z18" s="18">
        <f>IF(OR(X18="",O18=""),"",X18-Y18-O18-설정!$B$7)</f>
        <v/>
      </c>
      <c r="AA18" s="19">
        <f>IF(OR(Z18="",X18=0),"",Z18/X18)</f>
        <v/>
      </c>
      <c r="AB18" s="18">
        <f>IF(OR(T18="",O18=""),"",(T18+설정!$B$10)*(1-설정!$B$5)-O18)</f>
        <v/>
      </c>
      <c r="AC18" s="18">
        <f>IF(OR(T18="",O18=""),"",(T18+설정!$B$10)*(1-설정!$B$6)-O18)</f>
        <v/>
      </c>
      <c r="AD18" s="14">
        <f>IF(B18="","",IF(OR(O18="",T18=""),"가격 입력 필요",IF(Z18&lt;=0,"❌ 제외",IF(AND(P18="도매꾹",N18&gt;1),"⚠️ 최소수량 확인",IF(AND(AA18&gt;=설정!$B$8,Z18&gt;=설정!$B$9),"✅ 판매추천",IF(Z18&gt;0,"⚠️ 마진부족","❌ 제외"))))))</f>
        <v/>
      </c>
      <c r="AE18" s="15" t="n"/>
    </row>
    <row r="19">
      <c r="A19" s="14" t="n">
        <v>15</v>
      </c>
      <c r="B19" s="15" t="n"/>
      <c r="C19" s="15" t="n"/>
      <c r="D19" s="16" t="n"/>
      <c r="E19" s="17" t="n"/>
      <c r="F19" s="17" t="n"/>
      <c r="G19" s="18">
        <f>IF(E19="","",E19+F19)</f>
        <v/>
      </c>
      <c r="H19" s="17" t="n"/>
      <c r="I19" s="17" t="n"/>
      <c r="J19" s="18">
        <f>IF(H19="","",H19+I19)</f>
        <v/>
      </c>
      <c r="K19" s="17" t="n"/>
      <c r="L19" s="17" t="n"/>
      <c r="M19" s="18">
        <f>IF(K19="","",K19+L19)</f>
        <v/>
      </c>
      <c r="N19" s="16" t="n"/>
      <c r="O19" s="18">
        <f>IF(COUNT(G19,J19,M19)=0,"",MIN(G19,J19,M19))</f>
        <v/>
      </c>
      <c r="P19" s="14">
        <f>IF(O19="","",IF(O19=G19,"스페셜오퍼",IF(O19=J19,"도매매","도매꾹")))</f>
        <v/>
      </c>
      <c r="Q19" s="18">
        <f>IF(COUNT(G19,J19,M19)&lt;2,"",MAX(G19,J19,M19)-MIN(G19,J19,M19))</f>
        <v/>
      </c>
      <c r="R19" s="17" t="n"/>
      <c r="S19" s="17" t="n"/>
      <c r="T19" s="18">
        <f>IF(COUNT(R19,S19)=0,"",MIN(R19,S19))</f>
        <v/>
      </c>
      <c r="U19" s="19">
        <f>IF(OR(O19="",T19=""),"",O19/T19)</f>
        <v/>
      </c>
      <c r="V19" s="18">
        <f>IF(T19="","",ROUNDDOWN(T19*(1-설정!$B$3),-2))</f>
        <v/>
      </c>
      <c r="W19" s="17" t="n"/>
      <c r="X19" s="18">
        <f>IF(W19&lt;&gt;"",W19,V19)</f>
        <v/>
      </c>
      <c r="Y19" s="18">
        <f>IF(X19="","",X19*설정!$B$4)</f>
        <v/>
      </c>
      <c r="Z19" s="18">
        <f>IF(OR(X19="",O19=""),"",X19-Y19-O19-설정!$B$7)</f>
        <v/>
      </c>
      <c r="AA19" s="19">
        <f>IF(OR(Z19="",X19=0),"",Z19/X19)</f>
        <v/>
      </c>
      <c r="AB19" s="18">
        <f>IF(OR(T19="",O19=""),"",(T19+설정!$B$10)*(1-설정!$B$5)-O19)</f>
        <v/>
      </c>
      <c r="AC19" s="18">
        <f>IF(OR(T19="",O19=""),"",(T19+설정!$B$10)*(1-설정!$B$6)-O19)</f>
        <v/>
      </c>
      <c r="AD19" s="14">
        <f>IF(B19="","",IF(OR(O19="",T19=""),"가격 입력 필요",IF(Z19&lt;=0,"❌ 제외",IF(AND(P19="도매꾹",N19&gt;1),"⚠️ 최소수량 확인",IF(AND(AA19&gt;=설정!$B$8,Z19&gt;=설정!$B$9),"✅ 판매추천",IF(Z19&gt;0,"⚠️ 마진부족","❌ 제외"))))))</f>
        <v/>
      </c>
      <c r="AE19" s="15" t="n"/>
    </row>
    <row r="20">
      <c r="A20" s="14" t="n">
        <v>16</v>
      </c>
      <c r="B20" s="15" t="n"/>
      <c r="C20" s="15" t="n"/>
      <c r="D20" s="16" t="n"/>
      <c r="E20" s="17" t="n"/>
      <c r="F20" s="17" t="n"/>
      <c r="G20" s="18">
        <f>IF(E20="","",E20+F20)</f>
        <v/>
      </c>
      <c r="H20" s="17" t="n"/>
      <c r="I20" s="17" t="n"/>
      <c r="J20" s="18">
        <f>IF(H20="","",H20+I20)</f>
        <v/>
      </c>
      <c r="K20" s="17" t="n"/>
      <c r="L20" s="17" t="n"/>
      <c r="M20" s="18">
        <f>IF(K20="","",K20+L20)</f>
        <v/>
      </c>
      <c r="N20" s="16" t="n"/>
      <c r="O20" s="18">
        <f>IF(COUNT(G20,J20,M20)=0,"",MIN(G20,J20,M20))</f>
        <v/>
      </c>
      <c r="P20" s="14">
        <f>IF(O20="","",IF(O20=G20,"스페셜오퍼",IF(O20=J20,"도매매","도매꾹")))</f>
        <v/>
      </c>
      <c r="Q20" s="18">
        <f>IF(COUNT(G20,J20,M20)&lt;2,"",MAX(G20,J20,M20)-MIN(G20,J20,M20))</f>
        <v/>
      </c>
      <c r="R20" s="17" t="n"/>
      <c r="S20" s="17" t="n"/>
      <c r="T20" s="18">
        <f>IF(COUNT(R20,S20)=0,"",MIN(R20,S20))</f>
        <v/>
      </c>
      <c r="U20" s="19">
        <f>IF(OR(O20="",T20=""),"",O20/T20)</f>
        <v/>
      </c>
      <c r="V20" s="18">
        <f>IF(T20="","",ROUNDDOWN(T20*(1-설정!$B$3),-2))</f>
        <v/>
      </c>
      <c r="W20" s="17" t="n"/>
      <c r="X20" s="18">
        <f>IF(W20&lt;&gt;"",W20,V20)</f>
        <v/>
      </c>
      <c r="Y20" s="18">
        <f>IF(X20="","",X20*설정!$B$4)</f>
        <v/>
      </c>
      <c r="Z20" s="18">
        <f>IF(OR(X20="",O20=""),"",X20-Y20-O20-설정!$B$7)</f>
        <v/>
      </c>
      <c r="AA20" s="19">
        <f>IF(OR(Z20="",X20=0),"",Z20/X20)</f>
        <v/>
      </c>
      <c r="AB20" s="18">
        <f>IF(OR(T20="",O20=""),"",(T20+설정!$B$10)*(1-설정!$B$5)-O20)</f>
        <v/>
      </c>
      <c r="AC20" s="18">
        <f>IF(OR(T20="",O20=""),"",(T20+설정!$B$10)*(1-설정!$B$6)-O20)</f>
        <v/>
      </c>
      <c r="AD20" s="14">
        <f>IF(B20="","",IF(OR(O20="",T20=""),"가격 입력 필요",IF(Z20&lt;=0,"❌ 제외",IF(AND(P20="도매꾹",N20&gt;1),"⚠️ 최소수량 확인",IF(AND(AA20&gt;=설정!$B$8,Z20&gt;=설정!$B$9),"✅ 판매추천",IF(Z20&gt;0,"⚠️ 마진부족","❌ 제외"))))))</f>
        <v/>
      </c>
      <c r="AE20" s="15" t="n"/>
    </row>
    <row r="21">
      <c r="A21" s="14" t="n">
        <v>17</v>
      </c>
      <c r="B21" s="15" t="n"/>
      <c r="C21" s="15" t="n"/>
      <c r="D21" s="16" t="n"/>
      <c r="E21" s="17" t="n"/>
      <c r="F21" s="17" t="n"/>
      <c r="G21" s="18">
        <f>IF(E21="","",E21+F21)</f>
        <v/>
      </c>
      <c r="H21" s="17" t="n"/>
      <c r="I21" s="17" t="n"/>
      <c r="J21" s="18">
        <f>IF(H21="","",H21+I21)</f>
        <v/>
      </c>
      <c r="K21" s="17" t="n"/>
      <c r="L21" s="17" t="n"/>
      <c r="M21" s="18">
        <f>IF(K21="","",K21+L21)</f>
        <v/>
      </c>
      <c r="N21" s="16" t="n"/>
      <c r="O21" s="18">
        <f>IF(COUNT(G21,J21,M21)=0,"",MIN(G21,J21,M21))</f>
        <v/>
      </c>
      <c r="P21" s="14">
        <f>IF(O21="","",IF(O21=G21,"스페셜오퍼",IF(O21=J21,"도매매","도매꾹")))</f>
        <v/>
      </c>
      <c r="Q21" s="18">
        <f>IF(COUNT(G21,J21,M21)&lt;2,"",MAX(G21,J21,M21)-MIN(G21,J21,M21))</f>
        <v/>
      </c>
      <c r="R21" s="17" t="n"/>
      <c r="S21" s="17" t="n"/>
      <c r="T21" s="18">
        <f>IF(COUNT(R21,S21)=0,"",MIN(R21,S21))</f>
        <v/>
      </c>
      <c r="U21" s="19">
        <f>IF(OR(O21="",T21=""),"",O21/T21)</f>
        <v/>
      </c>
      <c r="V21" s="18">
        <f>IF(T21="","",ROUNDDOWN(T21*(1-설정!$B$3),-2))</f>
        <v/>
      </c>
      <c r="W21" s="17" t="n"/>
      <c r="X21" s="18">
        <f>IF(W21&lt;&gt;"",W21,V21)</f>
        <v/>
      </c>
      <c r="Y21" s="18">
        <f>IF(X21="","",X21*설정!$B$4)</f>
        <v/>
      </c>
      <c r="Z21" s="18">
        <f>IF(OR(X21="",O21=""),"",X21-Y21-O21-설정!$B$7)</f>
        <v/>
      </c>
      <c r="AA21" s="19">
        <f>IF(OR(Z21="",X21=0),"",Z21/X21)</f>
        <v/>
      </c>
      <c r="AB21" s="18">
        <f>IF(OR(T21="",O21=""),"",(T21+설정!$B$10)*(1-설정!$B$5)-O21)</f>
        <v/>
      </c>
      <c r="AC21" s="18">
        <f>IF(OR(T21="",O21=""),"",(T21+설정!$B$10)*(1-설정!$B$6)-O21)</f>
        <v/>
      </c>
      <c r="AD21" s="14">
        <f>IF(B21="","",IF(OR(O21="",T21=""),"가격 입력 필요",IF(Z21&lt;=0,"❌ 제외",IF(AND(P21="도매꾹",N21&gt;1),"⚠️ 최소수량 확인",IF(AND(AA21&gt;=설정!$B$8,Z21&gt;=설정!$B$9),"✅ 판매추천",IF(Z21&gt;0,"⚠️ 마진부족","❌ 제외"))))))</f>
        <v/>
      </c>
      <c r="AE21" s="15" t="n"/>
    </row>
    <row r="22">
      <c r="A22" s="14" t="n">
        <v>18</v>
      </c>
      <c r="B22" s="15" t="n"/>
      <c r="C22" s="15" t="n"/>
      <c r="D22" s="16" t="n"/>
      <c r="E22" s="17" t="n"/>
      <c r="F22" s="17" t="n"/>
      <c r="G22" s="18">
        <f>IF(E22="","",E22+F22)</f>
        <v/>
      </c>
      <c r="H22" s="17" t="n"/>
      <c r="I22" s="17" t="n"/>
      <c r="J22" s="18">
        <f>IF(H22="","",H22+I22)</f>
        <v/>
      </c>
      <c r="K22" s="17" t="n"/>
      <c r="L22" s="17" t="n"/>
      <c r="M22" s="18">
        <f>IF(K22="","",K22+L22)</f>
        <v/>
      </c>
      <c r="N22" s="16" t="n"/>
      <c r="O22" s="18">
        <f>IF(COUNT(G22,J22,M22)=0,"",MIN(G22,J22,M22))</f>
        <v/>
      </c>
      <c r="P22" s="14">
        <f>IF(O22="","",IF(O22=G22,"스페셜오퍼",IF(O22=J22,"도매매","도매꾹")))</f>
        <v/>
      </c>
      <c r="Q22" s="18">
        <f>IF(COUNT(G22,J22,M22)&lt;2,"",MAX(G22,J22,M22)-MIN(G22,J22,M22))</f>
        <v/>
      </c>
      <c r="R22" s="17" t="n"/>
      <c r="S22" s="17" t="n"/>
      <c r="T22" s="18">
        <f>IF(COUNT(R22,S22)=0,"",MIN(R22,S22))</f>
        <v/>
      </c>
      <c r="U22" s="19">
        <f>IF(OR(O22="",T22=""),"",O22/T22)</f>
        <v/>
      </c>
      <c r="V22" s="18">
        <f>IF(T22="","",ROUNDDOWN(T22*(1-설정!$B$3),-2))</f>
        <v/>
      </c>
      <c r="W22" s="17" t="n"/>
      <c r="X22" s="18">
        <f>IF(W22&lt;&gt;"",W22,V22)</f>
        <v/>
      </c>
      <c r="Y22" s="18">
        <f>IF(X22="","",X22*설정!$B$4)</f>
        <v/>
      </c>
      <c r="Z22" s="18">
        <f>IF(OR(X22="",O22=""),"",X22-Y22-O22-설정!$B$7)</f>
        <v/>
      </c>
      <c r="AA22" s="19">
        <f>IF(OR(Z22="",X22=0),"",Z22/X22)</f>
        <v/>
      </c>
      <c r="AB22" s="18">
        <f>IF(OR(T22="",O22=""),"",(T22+설정!$B$10)*(1-설정!$B$5)-O22)</f>
        <v/>
      </c>
      <c r="AC22" s="18">
        <f>IF(OR(T22="",O22=""),"",(T22+설정!$B$10)*(1-설정!$B$6)-O22)</f>
        <v/>
      </c>
      <c r="AD22" s="14">
        <f>IF(B22="","",IF(OR(O22="",T22=""),"가격 입력 필요",IF(Z22&lt;=0,"❌ 제외",IF(AND(P22="도매꾹",N22&gt;1),"⚠️ 최소수량 확인",IF(AND(AA22&gt;=설정!$B$8,Z22&gt;=설정!$B$9),"✅ 판매추천",IF(Z22&gt;0,"⚠️ 마진부족","❌ 제외"))))))</f>
        <v/>
      </c>
      <c r="AE22" s="15" t="n"/>
    </row>
    <row r="23">
      <c r="A23" s="14" t="n">
        <v>19</v>
      </c>
      <c r="B23" s="15" t="n"/>
      <c r="C23" s="15" t="n"/>
      <c r="D23" s="16" t="n"/>
      <c r="E23" s="17" t="n"/>
      <c r="F23" s="17" t="n"/>
      <c r="G23" s="18">
        <f>IF(E23="","",E23+F23)</f>
        <v/>
      </c>
      <c r="H23" s="17" t="n"/>
      <c r="I23" s="17" t="n"/>
      <c r="J23" s="18">
        <f>IF(H23="","",H23+I23)</f>
        <v/>
      </c>
      <c r="K23" s="17" t="n"/>
      <c r="L23" s="17" t="n"/>
      <c r="M23" s="18">
        <f>IF(K23="","",K23+L23)</f>
        <v/>
      </c>
      <c r="N23" s="16" t="n"/>
      <c r="O23" s="18">
        <f>IF(COUNT(G23,J23,M23)=0,"",MIN(G23,J23,M23))</f>
        <v/>
      </c>
      <c r="P23" s="14">
        <f>IF(O23="","",IF(O23=G23,"스페셜오퍼",IF(O23=J23,"도매매","도매꾹")))</f>
        <v/>
      </c>
      <c r="Q23" s="18">
        <f>IF(COUNT(G23,J23,M23)&lt;2,"",MAX(G23,J23,M23)-MIN(G23,J23,M23))</f>
        <v/>
      </c>
      <c r="R23" s="17" t="n"/>
      <c r="S23" s="17" t="n"/>
      <c r="T23" s="18">
        <f>IF(COUNT(R23,S23)=0,"",MIN(R23,S23))</f>
        <v/>
      </c>
      <c r="U23" s="19">
        <f>IF(OR(O23="",T23=""),"",O23/T23)</f>
        <v/>
      </c>
      <c r="V23" s="18">
        <f>IF(T23="","",ROUNDDOWN(T23*(1-설정!$B$3),-2))</f>
        <v/>
      </c>
      <c r="W23" s="17" t="n"/>
      <c r="X23" s="18">
        <f>IF(W23&lt;&gt;"",W23,V23)</f>
        <v/>
      </c>
      <c r="Y23" s="18">
        <f>IF(X23="","",X23*설정!$B$4)</f>
        <v/>
      </c>
      <c r="Z23" s="18">
        <f>IF(OR(X23="",O23=""),"",X23-Y23-O23-설정!$B$7)</f>
        <v/>
      </c>
      <c r="AA23" s="19">
        <f>IF(OR(Z23="",X23=0),"",Z23/X23)</f>
        <v/>
      </c>
      <c r="AB23" s="18">
        <f>IF(OR(T23="",O23=""),"",(T23+설정!$B$10)*(1-설정!$B$5)-O23)</f>
        <v/>
      </c>
      <c r="AC23" s="18">
        <f>IF(OR(T23="",O23=""),"",(T23+설정!$B$10)*(1-설정!$B$6)-O23)</f>
        <v/>
      </c>
      <c r="AD23" s="14">
        <f>IF(B23="","",IF(OR(O23="",T23=""),"가격 입력 필요",IF(Z23&lt;=0,"❌ 제외",IF(AND(P23="도매꾹",N23&gt;1),"⚠️ 최소수량 확인",IF(AND(AA23&gt;=설정!$B$8,Z23&gt;=설정!$B$9),"✅ 판매추천",IF(Z23&gt;0,"⚠️ 마진부족","❌ 제외"))))))</f>
        <v/>
      </c>
      <c r="AE23" s="15" t="n"/>
    </row>
    <row r="24">
      <c r="A24" s="14" t="n">
        <v>20</v>
      </c>
      <c r="B24" s="15" t="n"/>
      <c r="C24" s="15" t="n"/>
      <c r="D24" s="16" t="n"/>
      <c r="E24" s="17" t="n"/>
      <c r="F24" s="17" t="n"/>
      <c r="G24" s="18">
        <f>IF(E24="","",E24+F24)</f>
        <v/>
      </c>
      <c r="H24" s="17" t="n"/>
      <c r="I24" s="17" t="n"/>
      <c r="J24" s="18">
        <f>IF(H24="","",H24+I24)</f>
        <v/>
      </c>
      <c r="K24" s="17" t="n"/>
      <c r="L24" s="17" t="n"/>
      <c r="M24" s="18">
        <f>IF(K24="","",K24+L24)</f>
        <v/>
      </c>
      <c r="N24" s="16" t="n"/>
      <c r="O24" s="18">
        <f>IF(COUNT(G24,J24,M24)=0,"",MIN(G24,J24,M24))</f>
        <v/>
      </c>
      <c r="P24" s="14">
        <f>IF(O24="","",IF(O24=G24,"스페셜오퍼",IF(O24=J24,"도매매","도매꾹")))</f>
        <v/>
      </c>
      <c r="Q24" s="18">
        <f>IF(COUNT(G24,J24,M24)&lt;2,"",MAX(G24,J24,M24)-MIN(G24,J24,M24))</f>
        <v/>
      </c>
      <c r="R24" s="17" t="n"/>
      <c r="S24" s="17" t="n"/>
      <c r="T24" s="18">
        <f>IF(COUNT(R24,S24)=0,"",MIN(R24,S24))</f>
        <v/>
      </c>
      <c r="U24" s="19">
        <f>IF(OR(O24="",T24=""),"",O24/T24)</f>
        <v/>
      </c>
      <c r="V24" s="18">
        <f>IF(T24="","",ROUNDDOWN(T24*(1-설정!$B$3),-2))</f>
        <v/>
      </c>
      <c r="W24" s="17" t="n"/>
      <c r="X24" s="18">
        <f>IF(W24&lt;&gt;"",W24,V24)</f>
        <v/>
      </c>
      <c r="Y24" s="18">
        <f>IF(X24="","",X24*설정!$B$4)</f>
        <v/>
      </c>
      <c r="Z24" s="18">
        <f>IF(OR(X24="",O24=""),"",X24-Y24-O24-설정!$B$7)</f>
        <v/>
      </c>
      <c r="AA24" s="19">
        <f>IF(OR(Z24="",X24=0),"",Z24/X24)</f>
        <v/>
      </c>
      <c r="AB24" s="18">
        <f>IF(OR(T24="",O24=""),"",(T24+설정!$B$10)*(1-설정!$B$5)-O24)</f>
        <v/>
      </c>
      <c r="AC24" s="18">
        <f>IF(OR(T24="",O24=""),"",(T24+설정!$B$10)*(1-설정!$B$6)-O24)</f>
        <v/>
      </c>
      <c r="AD24" s="14">
        <f>IF(B24="","",IF(OR(O24="",T24=""),"가격 입력 필요",IF(Z24&lt;=0,"❌ 제외",IF(AND(P24="도매꾹",N24&gt;1),"⚠️ 최소수량 확인",IF(AND(AA24&gt;=설정!$B$8,Z24&gt;=설정!$B$9),"✅ 판매추천",IF(Z24&gt;0,"⚠️ 마진부족","❌ 제외"))))))</f>
        <v/>
      </c>
      <c r="AE24" s="15" t="n"/>
    </row>
    <row r="25">
      <c r="A25" s="14" t="n">
        <v>21</v>
      </c>
      <c r="B25" s="15" t="n"/>
      <c r="C25" s="15" t="n"/>
      <c r="D25" s="16" t="n"/>
      <c r="E25" s="17" t="n"/>
      <c r="F25" s="17" t="n"/>
      <c r="G25" s="18">
        <f>IF(E25="","",E25+F25)</f>
        <v/>
      </c>
      <c r="H25" s="17" t="n"/>
      <c r="I25" s="17" t="n"/>
      <c r="J25" s="18">
        <f>IF(H25="","",H25+I25)</f>
        <v/>
      </c>
      <c r="K25" s="17" t="n"/>
      <c r="L25" s="17" t="n"/>
      <c r="M25" s="18">
        <f>IF(K25="","",K25+L25)</f>
        <v/>
      </c>
      <c r="N25" s="16" t="n"/>
      <c r="O25" s="18">
        <f>IF(COUNT(G25,J25,M25)=0,"",MIN(G25,J25,M25))</f>
        <v/>
      </c>
      <c r="P25" s="14">
        <f>IF(O25="","",IF(O25=G25,"스페셜오퍼",IF(O25=J25,"도매매","도매꾹")))</f>
        <v/>
      </c>
      <c r="Q25" s="18">
        <f>IF(COUNT(G25,J25,M25)&lt;2,"",MAX(G25,J25,M25)-MIN(G25,J25,M25))</f>
        <v/>
      </c>
      <c r="R25" s="17" t="n"/>
      <c r="S25" s="17" t="n"/>
      <c r="T25" s="18">
        <f>IF(COUNT(R25,S25)=0,"",MIN(R25,S25))</f>
        <v/>
      </c>
      <c r="U25" s="19">
        <f>IF(OR(O25="",T25=""),"",O25/T25)</f>
        <v/>
      </c>
      <c r="V25" s="18">
        <f>IF(T25="","",ROUNDDOWN(T25*(1-설정!$B$3),-2))</f>
        <v/>
      </c>
      <c r="W25" s="17" t="n"/>
      <c r="X25" s="18">
        <f>IF(W25&lt;&gt;"",W25,V25)</f>
        <v/>
      </c>
      <c r="Y25" s="18">
        <f>IF(X25="","",X25*설정!$B$4)</f>
        <v/>
      </c>
      <c r="Z25" s="18">
        <f>IF(OR(X25="",O25=""),"",X25-Y25-O25-설정!$B$7)</f>
        <v/>
      </c>
      <c r="AA25" s="19">
        <f>IF(OR(Z25="",X25=0),"",Z25/X25)</f>
        <v/>
      </c>
      <c r="AB25" s="18">
        <f>IF(OR(T25="",O25=""),"",(T25+설정!$B$10)*(1-설정!$B$5)-O25)</f>
        <v/>
      </c>
      <c r="AC25" s="18">
        <f>IF(OR(T25="",O25=""),"",(T25+설정!$B$10)*(1-설정!$B$6)-O25)</f>
        <v/>
      </c>
      <c r="AD25" s="14">
        <f>IF(B25="","",IF(OR(O25="",T25=""),"가격 입력 필요",IF(Z25&lt;=0,"❌ 제외",IF(AND(P25="도매꾹",N25&gt;1),"⚠️ 최소수량 확인",IF(AND(AA25&gt;=설정!$B$8,Z25&gt;=설정!$B$9),"✅ 판매추천",IF(Z25&gt;0,"⚠️ 마진부족","❌ 제외"))))))</f>
        <v/>
      </c>
      <c r="AE25" s="15" t="n"/>
    </row>
    <row r="26">
      <c r="A26" s="14" t="n">
        <v>22</v>
      </c>
      <c r="B26" s="15" t="n"/>
      <c r="C26" s="15" t="n"/>
      <c r="D26" s="16" t="n"/>
      <c r="E26" s="17" t="n"/>
      <c r="F26" s="17" t="n"/>
      <c r="G26" s="18">
        <f>IF(E26="","",E26+F26)</f>
        <v/>
      </c>
      <c r="H26" s="17" t="n"/>
      <c r="I26" s="17" t="n"/>
      <c r="J26" s="18">
        <f>IF(H26="","",H26+I26)</f>
        <v/>
      </c>
      <c r="K26" s="17" t="n"/>
      <c r="L26" s="17" t="n"/>
      <c r="M26" s="18">
        <f>IF(K26="","",K26+L26)</f>
        <v/>
      </c>
      <c r="N26" s="16" t="n"/>
      <c r="O26" s="18">
        <f>IF(COUNT(G26,J26,M26)=0,"",MIN(G26,J26,M26))</f>
        <v/>
      </c>
      <c r="P26" s="14">
        <f>IF(O26="","",IF(O26=G26,"스페셜오퍼",IF(O26=J26,"도매매","도매꾹")))</f>
        <v/>
      </c>
      <c r="Q26" s="18">
        <f>IF(COUNT(G26,J26,M26)&lt;2,"",MAX(G26,J26,M26)-MIN(G26,J26,M26))</f>
        <v/>
      </c>
      <c r="R26" s="17" t="n"/>
      <c r="S26" s="17" t="n"/>
      <c r="T26" s="18">
        <f>IF(COUNT(R26,S26)=0,"",MIN(R26,S26))</f>
        <v/>
      </c>
      <c r="U26" s="19">
        <f>IF(OR(O26="",T26=""),"",O26/T26)</f>
        <v/>
      </c>
      <c r="V26" s="18">
        <f>IF(T26="","",ROUNDDOWN(T26*(1-설정!$B$3),-2))</f>
        <v/>
      </c>
      <c r="W26" s="17" t="n"/>
      <c r="X26" s="18">
        <f>IF(W26&lt;&gt;"",W26,V26)</f>
        <v/>
      </c>
      <c r="Y26" s="18">
        <f>IF(X26="","",X26*설정!$B$4)</f>
        <v/>
      </c>
      <c r="Z26" s="18">
        <f>IF(OR(X26="",O26=""),"",X26-Y26-O26-설정!$B$7)</f>
        <v/>
      </c>
      <c r="AA26" s="19">
        <f>IF(OR(Z26="",X26=0),"",Z26/X26)</f>
        <v/>
      </c>
      <c r="AB26" s="18">
        <f>IF(OR(T26="",O26=""),"",(T26+설정!$B$10)*(1-설정!$B$5)-O26)</f>
        <v/>
      </c>
      <c r="AC26" s="18">
        <f>IF(OR(T26="",O26=""),"",(T26+설정!$B$10)*(1-설정!$B$6)-O26)</f>
        <v/>
      </c>
      <c r="AD26" s="14">
        <f>IF(B26="","",IF(OR(O26="",T26=""),"가격 입력 필요",IF(Z26&lt;=0,"❌ 제외",IF(AND(P26="도매꾹",N26&gt;1),"⚠️ 최소수량 확인",IF(AND(AA26&gt;=설정!$B$8,Z26&gt;=설정!$B$9),"✅ 판매추천",IF(Z26&gt;0,"⚠️ 마진부족","❌ 제외"))))))</f>
        <v/>
      </c>
      <c r="AE26" s="15" t="n"/>
    </row>
    <row r="27">
      <c r="A27" s="14" t="n">
        <v>23</v>
      </c>
      <c r="B27" s="15" t="n"/>
      <c r="C27" s="15" t="n"/>
      <c r="D27" s="16" t="n"/>
      <c r="E27" s="17" t="n"/>
      <c r="F27" s="17" t="n"/>
      <c r="G27" s="18">
        <f>IF(E27="","",E27+F27)</f>
        <v/>
      </c>
      <c r="H27" s="17" t="n"/>
      <c r="I27" s="17" t="n"/>
      <c r="J27" s="18">
        <f>IF(H27="","",H27+I27)</f>
        <v/>
      </c>
      <c r="K27" s="17" t="n"/>
      <c r="L27" s="17" t="n"/>
      <c r="M27" s="18">
        <f>IF(K27="","",K27+L27)</f>
        <v/>
      </c>
      <c r="N27" s="16" t="n"/>
      <c r="O27" s="18">
        <f>IF(COUNT(G27,J27,M27)=0,"",MIN(G27,J27,M27))</f>
        <v/>
      </c>
      <c r="P27" s="14">
        <f>IF(O27="","",IF(O27=G27,"스페셜오퍼",IF(O27=J27,"도매매","도매꾹")))</f>
        <v/>
      </c>
      <c r="Q27" s="18">
        <f>IF(COUNT(G27,J27,M27)&lt;2,"",MAX(G27,J27,M27)-MIN(G27,J27,M27))</f>
        <v/>
      </c>
      <c r="R27" s="17" t="n"/>
      <c r="S27" s="17" t="n"/>
      <c r="T27" s="18">
        <f>IF(COUNT(R27,S27)=0,"",MIN(R27,S27))</f>
        <v/>
      </c>
      <c r="U27" s="19">
        <f>IF(OR(O27="",T27=""),"",O27/T27)</f>
        <v/>
      </c>
      <c r="V27" s="18">
        <f>IF(T27="","",ROUNDDOWN(T27*(1-설정!$B$3),-2))</f>
        <v/>
      </c>
      <c r="W27" s="17" t="n"/>
      <c r="X27" s="18">
        <f>IF(W27&lt;&gt;"",W27,V27)</f>
        <v/>
      </c>
      <c r="Y27" s="18">
        <f>IF(X27="","",X27*설정!$B$4)</f>
        <v/>
      </c>
      <c r="Z27" s="18">
        <f>IF(OR(X27="",O27=""),"",X27-Y27-O27-설정!$B$7)</f>
        <v/>
      </c>
      <c r="AA27" s="19">
        <f>IF(OR(Z27="",X27=0),"",Z27/X27)</f>
        <v/>
      </c>
      <c r="AB27" s="18">
        <f>IF(OR(T27="",O27=""),"",(T27+설정!$B$10)*(1-설정!$B$5)-O27)</f>
        <v/>
      </c>
      <c r="AC27" s="18">
        <f>IF(OR(T27="",O27=""),"",(T27+설정!$B$10)*(1-설정!$B$6)-O27)</f>
        <v/>
      </c>
      <c r="AD27" s="14">
        <f>IF(B27="","",IF(OR(O27="",T27=""),"가격 입력 필요",IF(Z27&lt;=0,"❌ 제외",IF(AND(P27="도매꾹",N27&gt;1),"⚠️ 최소수량 확인",IF(AND(AA27&gt;=설정!$B$8,Z27&gt;=설정!$B$9),"✅ 판매추천",IF(Z27&gt;0,"⚠️ 마진부족","❌ 제외"))))))</f>
        <v/>
      </c>
      <c r="AE27" s="15" t="n"/>
    </row>
    <row r="28">
      <c r="A28" s="14" t="n">
        <v>24</v>
      </c>
      <c r="B28" s="15" t="n"/>
      <c r="C28" s="15" t="n"/>
      <c r="D28" s="16" t="n"/>
      <c r="E28" s="17" t="n"/>
      <c r="F28" s="17" t="n"/>
      <c r="G28" s="18">
        <f>IF(E28="","",E28+F28)</f>
        <v/>
      </c>
      <c r="H28" s="17" t="n"/>
      <c r="I28" s="17" t="n"/>
      <c r="J28" s="18">
        <f>IF(H28="","",H28+I28)</f>
        <v/>
      </c>
      <c r="K28" s="17" t="n"/>
      <c r="L28" s="17" t="n"/>
      <c r="M28" s="18">
        <f>IF(K28="","",K28+L28)</f>
        <v/>
      </c>
      <c r="N28" s="16" t="n"/>
      <c r="O28" s="18">
        <f>IF(COUNT(G28,J28,M28)=0,"",MIN(G28,J28,M28))</f>
        <v/>
      </c>
      <c r="P28" s="14">
        <f>IF(O28="","",IF(O28=G28,"스페셜오퍼",IF(O28=J28,"도매매","도매꾹")))</f>
        <v/>
      </c>
      <c r="Q28" s="18">
        <f>IF(COUNT(G28,J28,M28)&lt;2,"",MAX(G28,J28,M28)-MIN(G28,J28,M28))</f>
        <v/>
      </c>
      <c r="R28" s="17" t="n"/>
      <c r="S28" s="17" t="n"/>
      <c r="T28" s="18">
        <f>IF(COUNT(R28,S28)=0,"",MIN(R28,S28))</f>
        <v/>
      </c>
      <c r="U28" s="19">
        <f>IF(OR(O28="",T28=""),"",O28/T28)</f>
        <v/>
      </c>
      <c r="V28" s="18">
        <f>IF(T28="","",ROUNDDOWN(T28*(1-설정!$B$3),-2))</f>
        <v/>
      </c>
      <c r="W28" s="17" t="n"/>
      <c r="X28" s="18">
        <f>IF(W28&lt;&gt;"",W28,V28)</f>
        <v/>
      </c>
      <c r="Y28" s="18">
        <f>IF(X28="","",X28*설정!$B$4)</f>
        <v/>
      </c>
      <c r="Z28" s="18">
        <f>IF(OR(X28="",O28=""),"",X28-Y28-O28-설정!$B$7)</f>
        <v/>
      </c>
      <c r="AA28" s="19">
        <f>IF(OR(Z28="",X28=0),"",Z28/X28)</f>
        <v/>
      </c>
      <c r="AB28" s="18">
        <f>IF(OR(T28="",O28=""),"",(T28+설정!$B$10)*(1-설정!$B$5)-O28)</f>
        <v/>
      </c>
      <c r="AC28" s="18">
        <f>IF(OR(T28="",O28=""),"",(T28+설정!$B$10)*(1-설정!$B$6)-O28)</f>
        <v/>
      </c>
      <c r="AD28" s="14">
        <f>IF(B28="","",IF(OR(O28="",T28=""),"가격 입력 필요",IF(Z28&lt;=0,"❌ 제외",IF(AND(P28="도매꾹",N28&gt;1),"⚠️ 최소수량 확인",IF(AND(AA28&gt;=설정!$B$8,Z28&gt;=설정!$B$9),"✅ 판매추천",IF(Z28&gt;0,"⚠️ 마진부족","❌ 제외"))))))</f>
        <v/>
      </c>
      <c r="AE28" s="15" t="n"/>
    </row>
    <row r="29">
      <c r="A29" s="14" t="n">
        <v>25</v>
      </c>
      <c r="B29" s="15" t="n"/>
      <c r="C29" s="15" t="n"/>
      <c r="D29" s="16" t="n"/>
      <c r="E29" s="17" t="n"/>
      <c r="F29" s="17" t="n"/>
      <c r="G29" s="18">
        <f>IF(E29="","",E29+F29)</f>
        <v/>
      </c>
      <c r="H29" s="17" t="n"/>
      <c r="I29" s="17" t="n"/>
      <c r="J29" s="18">
        <f>IF(H29="","",H29+I29)</f>
        <v/>
      </c>
      <c r="K29" s="17" t="n"/>
      <c r="L29" s="17" t="n"/>
      <c r="M29" s="18">
        <f>IF(K29="","",K29+L29)</f>
        <v/>
      </c>
      <c r="N29" s="16" t="n"/>
      <c r="O29" s="18">
        <f>IF(COUNT(G29,J29,M29)=0,"",MIN(G29,J29,M29))</f>
        <v/>
      </c>
      <c r="P29" s="14">
        <f>IF(O29="","",IF(O29=G29,"스페셜오퍼",IF(O29=J29,"도매매","도매꾹")))</f>
        <v/>
      </c>
      <c r="Q29" s="18">
        <f>IF(COUNT(G29,J29,M29)&lt;2,"",MAX(G29,J29,M29)-MIN(G29,J29,M29))</f>
        <v/>
      </c>
      <c r="R29" s="17" t="n"/>
      <c r="S29" s="17" t="n"/>
      <c r="T29" s="18">
        <f>IF(COUNT(R29,S29)=0,"",MIN(R29,S29))</f>
        <v/>
      </c>
      <c r="U29" s="19">
        <f>IF(OR(O29="",T29=""),"",O29/T29)</f>
        <v/>
      </c>
      <c r="V29" s="18">
        <f>IF(T29="","",ROUNDDOWN(T29*(1-설정!$B$3),-2))</f>
        <v/>
      </c>
      <c r="W29" s="17" t="n"/>
      <c r="X29" s="18">
        <f>IF(W29&lt;&gt;"",W29,V29)</f>
        <v/>
      </c>
      <c r="Y29" s="18">
        <f>IF(X29="","",X29*설정!$B$4)</f>
        <v/>
      </c>
      <c r="Z29" s="18">
        <f>IF(OR(X29="",O29=""),"",X29-Y29-O29-설정!$B$7)</f>
        <v/>
      </c>
      <c r="AA29" s="19">
        <f>IF(OR(Z29="",X29=0),"",Z29/X29)</f>
        <v/>
      </c>
      <c r="AB29" s="18">
        <f>IF(OR(T29="",O29=""),"",(T29+설정!$B$10)*(1-설정!$B$5)-O29)</f>
        <v/>
      </c>
      <c r="AC29" s="18">
        <f>IF(OR(T29="",O29=""),"",(T29+설정!$B$10)*(1-설정!$B$6)-O29)</f>
        <v/>
      </c>
      <c r="AD29" s="14">
        <f>IF(B29="","",IF(OR(O29="",T29=""),"가격 입력 필요",IF(Z29&lt;=0,"❌ 제외",IF(AND(P29="도매꾹",N29&gt;1),"⚠️ 최소수량 확인",IF(AND(AA29&gt;=설정!$B$8,Z29&gt;=설정!$B$9),"✅ 판매추천",IF(Z29&gt;0,"⚠️ 마진부족","❌ 제외"))))))</f>
        <v/>
      </c>
      <c r="AE29" s="15" t="n"/>
    </row>
    <row r="30">
      <c r="A30" s="14" t="n">
        <v>26</v>
      </c>
      <c r="B30" s="15" t="n"/>
      <c r="C30" s="15" t="n"/>
      <c r="D30" s="16" t="n"/>
      <c r="E30" s="17" t="n"/>
      <c r="F30" s="17" t="n"/>
      <c r="G30" s="18">
        <f>IF(E30="","",E30+F30)</f>
        <v/>
      </c>
      <c r="H30" s="17" t="n"/>
      <c r="I30" s="17" t="n"/>
      <c r="J30" s="18">
        <f>IF(H30="","",H30+I30)</f>
        <v/>
      </c>
      <c r="K30" s="17" t="n"/>
      <c r="L30" s="17" t="n"/>
      <c r="M30" s="18">
        <f>IF(K30="","",K30+L30)</f>
        <v/>
      </c>
      <c r="N30" s="16" t="n"/>
      <c r="O30" s="18">
        <f>IF(COUNT(G30,J30,M30)=0,"",MIN(G30,J30,M30))</f>
        <v/>
      </c>
      <c r="P30" s="14">
        <f>IF(O30="","",IF(O30=G30,"스페셜오퍼",IF(O30=J30,"도매매","도매꾹")))</f>
        <v/>
      </c>
      <c r="Q30" s="18">
        <f>IF(COUNT(G30,J30,M30)&lt;2,"",MAX(G30,J30,M30)-MIN(G30,J30,M30))</f>
        <v/>
      </c>
      <c r="R30" s="17" t="n"/>
      <c r="S30" s="17" t="n"/>
      <c r="T30" s="18">
        <f>IF(COUNT(R30,S30)=0,"",MIN(R30,S30))</f>
        <v/>
      </c>
      <c r="U30" s="19">
        <f>IF(OR(O30="",T30=""),"",O30/T30)</f>
        <v/>
      </c>
      <c r="V30" s="18">
        <f>IF(T30="","",ROUNDDOWN(T30*(1-설정!$B$3),-2))</f>
        <v/>
      </c>
      <c r="W30" s="17" t="n"/>
      <c r="X30" s="18">
        <f>IF(W30&lt;&gt;"",W30,V30)</f>
        <v/>
      </c>
      <c r="Y30" s="18">
        <f>IF(X30="","",X30*설정!$B$4)</f>
        <v/>
      </c>
      <c r="Z30" s="18">
        <f>IF(OR(X30="",O30=""),"",X30-Y30-O30-설정!$B$7)</f>
        <v/>
      </c>
      <c r="AA30" s="19">
        <f>IF(OR(Z30="",X30=0),"",Z30/X30)</f>
        <v/>
      </c>
      <c r="AB30" s="18">
        <f>IF(OR(T30="",O30=""),"",(T30+설정!$B$10)*(1-설정!$B$5)-O30)</f>
        <v/>
      </c>
      <c r="AC30" s="18">
        <f>IF(OR(T30="",O30=""),"",(T30+설정!$B$10)*(1-설정!$B$6)-O30)</f>
        <v/>
      </c>
      <c r="AD30" s="14">
        <f>IF(B30="","",IF(OR(O30="",T30=""),"가격 입력 필요",IF(Z30&lt;=0,"❌ 제외",IF(AND(P30="도매꾹",N30&gt;1),"⚠️ 최소수량 확인",IF(AND(AA30&gt;=설정!$B$8,Z30&gt;=설정!$B$9),"✅ 판매추천",IF(Z30&gt;0,"⚠️ 마진부족","❌ 제외"))))))</f>
        <v/>
      </c>
      <c r="AE30" s="15" t="n"/>
    </row>
    <row r="31">
      <c r="A31" s="14" t="n">
        <v>27</v>
      </c>
      <c r="B31" s="15" t="n"/>
      <c r="C31" s="15" t="n"/>
      <c r="D31" s="16" t="n"/>
      <c r="E31" s="17" t="n"/>
      <c r="F31" s="17" t="n"/>
      <c r="G31" s="18">
        <f>IF(E31="","",E31+F31)</f>
        <v/>
      </c>
      <c r="H31" s="17" t="n"/>
      <c r="I31" s="17" t="n"/>
      <c r="J31" s="18">
        <f>IF(H31="","",H31+I31)</f>
        <v/>
      </c>
      <c r="K31" s="17" t="n"/>
      <c r="L31" s="17" t="n"/>
      <c r="M31" s="18">
        <f>IF(K31="","",K31+L31)</f>
        <v/>
      </c>
      <c r="N31" s="16" t="n"/>
      <c r="O31" s="18">
        <f>IF(COUNT(G31,J31,M31)=0,"",MIN(G31,J31,M31))</f>
        <v/>
      </c>
      <c r="P31" s="14">
        <f>IF(O31="","",IF(O31=G31,"스페셜오퍼",IF(O31=J31,"도매매","도매꾹")))</f>
        <v/>
      </c>
      <c r="Q31" s="18">
        <f>IF(COUNT(G31,J31,M31)&lt;2,"",MAX(G31,J31,M31)-MIN(G31,J31,M31))</f>
        <v/>
      </c>
      <c r="R31" s="17" t="n"/>
      <c r="S31" s="17" t="n"/>
      <c r="T31" s="18">
        <f>IF(COUNT(R31,S31)=0,"",MIN(R31,S31))</f>
        <v/>
      </c>
      <c r="U31" s="19">
        <f>IF(OR(O31="",T31=""),"",O31/T31)</f>
        <v/>
      </c>
      <c r="V31" s="18">
        <f>IF(T31="","",ROUNDDOWN(T31*(1-설정!$B$3),-2))</f>
        <v/>
      </c>
      <c r="W31" s="17" t="n"/>
      <c r="X31" s="18">
        <f>IF(W31&lt;&gt;"",W31,V31)</f>
        <v/>
      </c>
      <c r="Y31" s="18">
        <f>IF(X31="","",X31*설정!$B$4)</f>
        <v/>
      </c>
      <c r="Z31" s="18">
        <f>IF(OR(X31="",O31=""),"",X31-Y31-O31-설정!$B$7)</f>
        <v/>
      </c>
      <c r="AA31" s="19">
        <f>IF(OR(Z31="",X31=0),"",Z31/X31)</f>
        <v/>
      </c>
      <c r="AB31" s="18">
        <f>IF(OR(T31="",O31=""),"",(T31+설정!$B$10)*(1-설정!$B$5)-O31)</f>
        <v/>
      </c>
      <c r="AC31" s="18">
        <f>IF(OR(T31="",O31=""),"",(T31+설정!$B$10)*(1-설정!$B$6)-O31)</f>
        <v/>
      </c>
      <c r="AD31" s="14">
        <f>IF(B31="","",IF(OR(O31="",T31=""),"가격 입력 필요",IF(Z31&lt;=0,"❌ 제외",IF(AND(P31="도매꾹",N31&gt;1),"⚠️ 최소수량 확인",IF(AND(AA31&gt;=설정!$B$8,Z31&gt;=설정!$B$9),"✅ 판매추천",IF(Z31&gt;0,"⚠️ 마진부족","❌ 제외"))))))</f>
        <v/>
      </c>
      <c r="AE31" s="15" t="n"/>
    </row>
    <row r="32">
      <c r="A32" s="14" t="n">
        <v>28</v>
      </c>
      <c r="B32" s="15" t="n"/>
      <c r="C32" s="15" t="n"/>
      <c r="D32" s="16" t="n"/>
      <c r="E32" s="17" t="n"/>
      <c r="F32" s="17" t="n"/>
      <c r="G32" s="18">
        <f>IF(E32="","",E32+F32)</f>
        <v/>
      </c>
      <c r="H32" s="17" t="n"/>
      <c r="I32" s="17" t="n"/>
      <c r="J32" s="18">
        <f>IF(H32="","",H32+I32)</f>
        <v/>
      </c>
      <c r="K32" s="17" t="n"/>
      <c r="L32" s="17" t="n"/>
      <c r="M32" s="18">
        <f>IF(K32="","",K32+L32)</f>
        <v/>
      </c>
      <c r="N32" s="16" t="n"/>
      <c r="O32" s="18">
        <f>IF(COUNT(G32,J32,M32)=0,"",MIN(G32,J32,M32))</f>
        <v/>
      </c>
      <c r="P32" s="14">
        <f>IF(O32="","",IF(O32=G32,"스페셜오퍼",IF(O32=J32,"도매매","도매꾹")))</f>
        <v/>
      </c>
      <c r="Q32" s="18">
        <f>IF(COUNT(G32,J32,M32)&lt;2,"",MAX(G32,J32,M32)-MIN(G32,J32,M32))</f>
        <v/>
      </c>
      <c r="R32" s="17" t="n"/>
      <c r="S32" s="17" t="n"/>
      <c r="T32" s="18">
        <f>IF(COUNT(R32,S32)=0,"",MIN(R32,S32))</f>
        <v/>
      </c>
      <c r="U32" s="19">
        <f>IF(OR(O32="",T32=""),"",O32/T32)</f>
        <v/>
      </c>
      <c r="V32" s="18">
        <f>IF(T32="","",ROUNDDOWN(T32*(1-설정!$B$3),-2))</f>
        <v/>
      </c>
      <c r="W32" s="17" t="n"/>
      <c r="X32" s="18">
        <f>IF(W32&lt;&gt;"",W32,V32)</f>
        <v/>
      </c>
      <c r="Y32" s="18">
        <f>IF(X32="","",X32*설정!$B$4)</f>
        <v/>
      </c>
      <c r="Z32" s="18">
        <f>IF(OR(X32="",O32=""),"",X32-Y32-O32-설정!$B$7)</f>
        <v/>
      </c>
      <c r="AA32" s="19">
        <f>IF(OR(Z32="",X32=0),"",Z32/X32)</f>
        <v/>
      </c>
      <c r="AB32" s="18">
        <f>IF(OR(T32="",O32=""),"",(T32+설정!$B$10)*(1-설정!$B$5)-O32)</f>
        <v/>
      </c>
      <c r="AC32" s="18">
        <f>IF(OR(T32="",O32=""),"",(T32+설정!$B$10)*(1-설정!$B$6)-O32)</f>
        <v/>
      </c>
      <c r="AD32" s="14">
        <f>IF(B32="","",IF(OR(O32="",T32=""),"가격 입력 필요",IF(Z32&lt;=0,"❌ 제외",IF(AND(P32="도매꾹",N32&gt;1),"⚠️ 최소수량 확인",IF(AND(AA32&gt;=설정!$B$8,Z32&gt;=설정!$B$9),"✅ 판매추천",IF(Z32&gt;0,"⚠️ 마진부족","❌ 제외"))))))</f>
        <v/>
      </c>
      <c r="AE32" s="15" t="n"/>
    </row>
    <row r="33">
      <c r="A33" s="14" t="n">
        <v>29</v>
      </c>
      <c r="B33" s="15" t="n"/>
      <c r="C33" s="15" t="n"/>
      <c r="D33" s="16" t="n"/>
      <c r="E33" s="17" t="n"/>
      <c r="F33" s="17" t="n"/>
      <c r="G33" s="18">
        <f>IF(E33="","",E33+F33)</f>
        <v/>
      </c>
      <c r="H33" s="17" t="n"/>
      <c r="I33" s="17" t="n"/>
      <c r="J33" s="18">
        <f>IF(H33="","",H33+I33)</f>
        <v/>
      </c>
      <c r="K33" s="17" t="n"/>
      <c r="L33" s="17" t="n"/>
      <c r="M33" s="18">
        <f>IF(K33="","",K33+L33)</f>
        <v/>
      </c>
      <c r="N33" s="16" t="n"/>
      <c r="O33" s="18">
        <f>IF(COUNT(G33,J33,M33)=0,"",MIN(G33,J33,M33))</f>
        <v/>
      </c>
      <c r="P33" s="14">
        <f>IF(O33="","",IF(O33=G33,"스페셜오퍼",IF(O33=J33,"도매매","도매꾹")))</f>
        <v/>
      </c>
      <c r="Q33" s="18">
        <f>IF(COUNT(G33,J33,M33)&lt;2,"",MAX(G33,J33,M33)-MIN(G33,J33,M33))</f>
        <v/>
      </c>
      <c r="R33" s="17" t="n"/>
      <c r="S33" s="17" t="n"/>
      <c r="T33" s="18">
        <f>IF(COUNT(R33,S33)=0,"",MIN(R33,S33))</f>
        <v/>
      </c>
      <c r="U33" s="19">
        <f>IF(OR(O33="",T33=""),"",O33/T33)</f>
        <v/>
      </c>
      <c r="V33" s="18">
        <f>IF(T33="","",ROUNDDOWN(T33*(1-설정!$B$3),-2))</f>
        <v/>
      </c>
      <c r="W33" s="17" t="n"/>
      <c r="X33" s="18">
        <f>IF(W33&lt;&gt;"",W33,V33)</f>
        <v/>
      </c>
      <c r="Y33" s="18">
        <f>IF(X33="","",X33*설정!$B$4)</f>
        <v/>
      </c>
      <c r="Z33" s="18">
        <f>IF(OR(X33="",O33=""),"",X33-Y33-O33-설정!$B$7)</f>
        <v/>
      </c>
      <c r="AA33" s="19">
        <f>IF(OR(Z33="",X33=0),"",Z33/X33)</f>
        <v/>
      </c>
      <c r="AB33" s="18">
        <f>IF(OR(T33="",O33=""),"",(T33+설정!$B$10)*(1-설정!$B$5)-O33)</f>
        <v/>
      </c>
      <c r="AC33" s="18">
        <f>IF(OR(T33="",O33=""),"",(T33+설정!$B$10)*(1-설정!$B$6)-O33)</f>
        <v/>
      </c>
      <c r="AD33" s="14">
        <f>IF(B33="","",IF(OR(O33="",T33=""),"가격 입력 필요",IF(Z33&lt;=0,"❌ 제외",IF(AND(P33="도매꾹",N33&gt;1),"⚠️ 최소수량 확인",IF(AND(AA33&gt;=설정!$B$8,Z33&gt;=설정!$B$9),"✅ 판매추천",IF(Z33&gt;0,"⚠️ 마진부족","❌ 제외"))))))</f>
        <v/>
      </c>
      <c r="AE33" s="15" t="n"/>
    </row>
    <row r="34">
      <c r="A34" s="14" t="n">
        <v>30</v>
      </c>
      <c r="B34" s="15" t="n"/>
      <c r="C34" s="15" t="n"/>
      <c r="D34" s="16" t="n"/>
      <c r="E34" s="17" t="n"/>
      <c r="F34" s="17" t="n"/>
      <c r="G34" s="18">
        <f>IF(E34="","",E34+F34)</f>
        <v/>
      </c>
      <c r="H34" s="17" t="n"/>
      <c r="I34" s="17" t="n"/>
      <c r="J34" s="18">
        <f>IF(H34="","",H34+I34)</f>
        <v/>
      </c>
      <c r="K34" s="17" t="n"/>
      <c r="L34" s="17" t="n"/>
      <c r="M34" s="18">
        <f>IF(K34="","",K34+L34)</f>
        <v/>
      </c>
      <c r="N34" s="16" t="n"/>
      <c r="O34" s="18">
        <f>IF(COUNT(G34,J34,M34)=0,"",MIN(G34,J34,M34))</f>
        <v/>
      </c>
      <c r="P34" s="14">
        <f>IF(O34="","",IF(O34=G34,"스페셜오퍼",IF(O34=J34,"도매매","도매꾹")))</f>
        <v/>
      </c>
      <c r="Q34" s="18">
        <f>IF(COUNT(G34,J34,M34)&lt;2,"",MAX(G34,J34,M34)-MIN(G34,J34,M34))</f>
        <v/>
      </c>
      <c r="R34" s="17" t="n"/>
      <c r="S34" s="17" t="n"/>
      <c r="T34" s="18">
        <f>IF(COUNT(R34,S34)=0,"",MIN(R34,S34))</f>
        <v/>
      </c>
      <c r="U34" s="19">
        <f>IF(OR(O34="",T34=""),"",O34/T34)</f>
        <v/>
      </c>
      <c r="V34" s="18">
        <f>IF(T34="","",ROUNDDOWN(T34*(1-설정!$B$3),-2))</f>
        <v/>
      </c>
      <c r="W34" s="17" t="n"/>
      <c r="X34" s="18">
        <f>IF(W34&lt;&gt;"",W34,V34)</f>
        <v/>
      </c>
      <c r="Y34" s="18">
        <f>IF(X34="","",X34*설정!$B$4)</f>
        <v/>
      </c>
      <c r="Z34" s="18">
        <f>IF(OR(X34="",O34=""),"",X34-Y34-O34-설정!$B$7)</f>
        <v/>
      </c>
      <c r="AA34" s="19">
        <f>IF(OR(Z34="",X34=0),"",Z34/X34)</f>
        <v/>
      </c>
      <c r="AB34" s="18">
        <f>IF(OR(T34="",O34=""),"",(T34+설정!$B$10)*(1-설정!$B$5)-O34)</f>
        <v/>
      </c>
      <c r="AC34" s="18">
        <f>IF(OR(T34="",O34=""),"",(T34+설정!$B$10)*(1-설정!$B$6)-O34)</f>
        <v/>
      </c>
      <c r="AD34" s="14">
        <f>IF(B34="","",IF(OR(O34="",T34=""),"가격 입력 필요",IF(Z34&lt;=0,"❌ 제외",IF(AND(P34="도매꾹",N34&gt;1),"⚠️ 최소수량 확인",IF(AND(AA34&gt;=설정!$B$8,Z34&gt;=설정!$B$9),"✅ 판매추천",IF(Z34&gt;0,"⚠️ 마진부족","❌ 제외"))))))</f>
        <v/>
      </c>
      <c r="AE34" s="15" t="n"/>
    </row>
    <row r="35">
      <c r="A35" s="14" t="n">
        <v>31</v>
      </c>
      <c r="B35" s="15" t="n"/>
      <c r="C35" s="15" t="n"/>
      <c r="D35" s="16" t="n"/>
      <c r="E35" s="17" t="n"/>
      <c r="F35" s="17" t="n"/>
      <c r="G35" s="18">
        <f>IF(E35="","",E35+F35)</f>
        <v/>
      </c>
      <c r="H35" s="17" t="n"/>
      <c r="I35" s="17" t="n"/>
      <c r="J35" s="18">
        <f>IF(H35="","",H35+I35)</f>
        <v/>
      </c>
      <c r="K35" s="17" t="n"/>
      <c r="L35" s="17" t="n"/>
      <c r="M35" s="18">
        <f>IF(K35="","",K35+L35)</f>
        <v/>
      </c>
      <c r="N35" s="16" t="n"/>
      <c r="O35" s="18">
        <f>IF(COUNT(G35,J35,M35)=0,"",MIN(G35,J35,M35))</f>
        <v/>
      </c>
      <c r="P35" s="14">
        <f>IF(O35="","",IF(O35=G35,"스페셜오퍼",IF(O35=J35,"도매매","도매꾹")))</f>
        <v/>
      </c>
      <c r="Q35" s="18">
        <f>IF(COUNT(G35,J35,M35)&lt;2,"",MAX(G35,J35,M35)-MIN(G35,J35,M35))</f>
        <v/>
      </c>
      <c r="R35" s="17" t="n"/>
      <c r="S35" s="17" t="n"/>
      <c r="T35" s="18">
        <f>IF(COUNT(R35,S35)=0,"",MIN(R35,S35))</f>
        <v/>
      </c>
      <c r="U35" s="19">
        <f>IF(OR(O35="",T35=""),"",O35/T35)</f>
        <v/>
      </c>
      <c r="V35" s="18">
        <f>IF(T35="","",ROUNDDOWN(T35*(1-설정!$B$3),-2))</f>
        <v/>
      </c>
      <c r="W35" s="17" t="n"/>
      <c r="X35" s="18">
        <f>IF(W35&lt;&gt;"",W35,V35)</f>
        <v/>
      </c>
      <c r="Y35" s="18">
        <f>IF(X35="","",X35*설정!$B$4)</f>
        <v/>
      </c>
      <c r="Z35" s="18">
        <f>IF(OR(X35="",O35=""),"",X35-Y35-O35-설정!$B$7)</f>
        <v/>
      </c>
      <c r="AA35" s="19">
        <f>IF(OR(Z35="",X35=0),"",Z35/X35)</f>
        <v/>
      </c>
      <c r="AB35" s="18">
        <f>IF(OR(T35="",O35=""),"",(T35+설정!$B$10)*(1-설정!$B$5)-O35)</f>
        <v/>
      </c>
      <c r="AC35" s="18">
        <f>IF(OR(T35="",O35=""),"",(T35+설정!$B$10)*(1-설정!$B$6)-O35)</f>
        <v/>
      </c>
      <c r="AD35" s="14">
        <f>IF(B35="","",IF(OR(O35="",T35=""),"가격 입력 필요",IF(Z35&lt;=0,"❌ 제외",IF(AND(P35="도매꾹",N35&gt;1),"⚠️ 최소수량 확인",IF(AND(AA35&gt;=설정!$B$8,Z35&gt;=설정!$B$9),"✅ 판매추천",IF(Z35&gt;0,"⚠️ 마진부족","❌ 제외"))))))</f>
        <v/>
      </c>
      <c r="AE35" s="15" t="n"/>
    </row>
    <row r="36">
      <c r="A36" s="14" t="n">
        <v>32</v>
      </c>
      <c r="B36" s="15" t="n"/>
      <c r="C36" s="15" t="n"/>
      <c r="D36" s="16" t="n"/>
      <c r="E36" s="17" t="n"/>
      <c r="F36" s="17" t="n"/>
      <c r="G36" s="18">
        <f>IF(E36="","",E36+F36)</f>
        <v/>
      </c>
      <c r="H36" s="17" t="n"/>
      <c r="I36" s="17" t="n"/>
      <c r="J36" s="18">
        <f>IF(H36="","",H36+I36)</f>
        <v/>
      </c>
      <c r="K36" s="17" t="n"/>
      <c r="L36" s="17" t="n"/>
      <c r="M36" s="18">
        <f>IF(K36="","",K36+L36)</f>
        <v/>
      </c>
      <c r="N36" s="16" t="n"/>
      <c r="O36" s="18">
        <f>IF(COUNT(G36,J36,M36)=0,"",MIN(G36,J36,M36))</f>
        <v/>
      </c>
      <c r="P36" s="14">
        <f>IF(O36="","",IF(O36=G36,"스페셜오퍼",IF(O36=J36,"도매매","도매꾹")))</f>
        <v/>
      </c>
      <c r="Q36" s="18">
        <f>IF(COUNT(G36,J36,M36)&lt;2,"",MAX(G36,J36,M36)-MIN(G36,J36,M36))</f>
        <v/>
      </c>
      <c r="R36" s="17" t="n"/>
      <c r="S36" s="17" t="n"/>
      <c r="T36" s="18">
        <f>IF(COUNT(R36,S36)=0,"",MIN(R36,S36))</f>
        <v/>
      </c>
      <c r="U36" s="19">
        <f>IF(OR(O36="",T36=""),"",O36/T36)</f>
        <v/>
      </c>
      <c r="V36" s="18">
        <f>IF(T36="","",ROUNDDOWN(T36*(1-설정!$B$3),-2))</f>
        <v/>
      </c>
      <c r="W36" s="17" t="n"/>
      <c r="X36" s="18">
        <f>IF(W36&lt;&gt;"",W36,V36)</f>
        <v/>
      </c>
      <c r="Y36" s="18">
        <f>IF(X36="","",X36*설정!$B$4)</f>
        <v/>
      </c>
      <c r="Z36" s="18">
        <f>IF(OR(X36="",O36=""),"",X36-Y36-O36-설정!$B$7)</f>
        <v/>
      </c>
      <c r="AA36" s="19">
        <f>IF(OR(Z36="",X36=0),"",Z36/X36)</f>
        <v/>
      </c>
      <c r="AB36" s="18">
        <f>IF(OR(T36="",O36=""),"",(T36+설정!$B$10)*(1-설정!$B$5)-O36)</f>
        <v/>
      </c>
      <c r="AC36" s="18">
        <f>IF(OR(T36="",O36=""),"",(T36+설정!$B$10)*(1-설정!$B$6)-O36)</f>
        <v/>
      </c>
      <c r="AD36" s="14">
        <f>IF(B36="","",IF(OR(O36="",T36=""),"가격 입력 필요",IF(Z36&lt;=0,"❌ 제외",IF(AND(P36="도매꾹",N36&gt;1),"⚠️ 최소수량 확인",IF(AND(AA36&gt;=설정!$B$8,Z36&gt;=설정!$B$9),"✅ 판매추천",IF(Z36&gt;0,"⚠️ 마진부족","❌ 제외"))))))</f>
        <v/>
      </c>
      <c r="AE36" s="15" t="n"/>
    </row>
    <row r="37">
      <c r="A37" s="14" t="n">
        <v>33</v>
      </c>
      <c r="B37" s="15" t="n"/>
      <c r="C37" s="15" t="n"/>
      <c r="D37" s="16" t="n"/>
      <c r="E37" s="17" t="n"/>
      <c r="F37" s="17" t="n"/>
      <c r="G37" s="18">
        <f>IF(E37="","",E37+F37)</f>
        <v/>
      </c>
      <c r="H37" s="17" t="n"/>
      <c r="I37" s="17" t="n"/>
      <c r="J37" s="18">
        <f>IF(H37="","",H37+I37)</f>
        <v/>
      </c>
      <c r="K37" s="17" t="n"/>
      <c r="L37" s="17" t="n"/>
      <c r="M37" s="18">
        <f>IF(K37="","",K37+L37)</f>
        <v/>
      </c>
      <c r="N37" s="16" t="n"/>
      <c r="O37" s="18">
        <f>IF(COUNT(G37,J37,M37)=0,"",MIN(G37,J37,M37))</f>
        <v/>
      </c>
      <c r="P37" s="14">
        <f>IF(O37="","",IF(O37=G37,"스페셜오퍼",IF(O37=J37,"도매매","도매꾹")))</f>
        <v/>
      </c>
      <c r="Q37" s="18">
        <f>IF(COUNT(G37,J37,M37)&lt;2,"",MAX(G37,J37,M37)-MIN(G37,J37,M37))</f>
        <v/>
      </c>
      <c r="R37" s="17" t="n"/>
      <c r="S37" s="17" t="n"/>
      <c r="T37" s="18">
        <f>IF(COUNT(R37,S37)=0,"",MIN(R37,S37))</f>
        <v/>
      </c>
      <c r="U37" s="19">
        <f>IF(OR(O37="",T37=""),"",O37/T37)</f>
        <v/>
      </c>
      <c r="V37" s="18">
        <f>IF(T37="","",ROUNDDOWN(T37*(1-설정!$B$3),-2))</f>
        <v/>
      </c>
      <c r="W37" s="17" t="n"/>
      <c r="X37" s="18">
        <f>IF(W37&lt;&gt;"",W37,V37)</f>
        <v/>
      </c>
      <c r="Y37" s="18">
        <f>IF(X37="","",X37*설정!$B$4)</f>
        <v/>
      </c>
      <c r="Z37" s="18">
        <f>IF(OR(X37="",O37=""),"",X37-Y37-O37-설정!$B$7)</f>
        <v/>
      </c>
      <c r="AA37" s="19">
        <f>IF(OR(Z37="",X37=0),"",Z37/X37)</f>
        <v/>
      </c>
      <c r="AB37" s="18">
        <f>IF(OR(T37="",O37=""),"",(T37+설정!$B$10)*(1-설정!$B$5)-O37)</f>
        <v/>
      </c>
      <c r="AC37" s="18">
        <f>IF(OR(T37="",O37=""),"",(T37+설정!$B$10)*(1-설정!$B$6)-O37)</f>
        <v/>
      </c>
      <c r="AD37" s="14">
        <f>IF(B37="","",IF(OR(O37="",T37=""),"가격 입력 필요",IF(Z37&lt;=0,"❌ 제외",IF(AND(P37="도매꾹",N37&gt;1),"⚠️ 최소수량 확인",IF(AND(AA37&gt;=설정!$B$8,Z37&gt;=설정!$B$9),"✅ 판매추천",IF(Z37&gt;0,"⚠️ 마진부족","❌ 제외"))))))</f>
        <v/>
      </c>
      <c r="AE37" s="15" t="n"/>
    </row>
    <row r="38">
      <c r="A38" s="14" t="n">
        <v>34</v>
      </c>
      <c r="B38" s="15" t="n"/>
      <c r="C38" s="15" t="n"/>
      <c r="D38" s="16" t="n"/>
      <c r="E38" s="17" t="n"/>
      <c r="F38" s="17" t="n"/>
      <c r="G38" s="18">
        <f>IF(E38="","",E38+F38)</f>
        <v/>
      </c>
      <c r="H38" s="17" t="n"/>
      <c r="I38" s="17" t="n"/>
      <c r="J38" s="18">
        <f>IF(H38="","",H38+I38)</f>
        <v/>
      </c>
      <c r="K38" s="17" t="n"/>
      <c r="L38" s="17" t="n"/>
      <c r="M38" s="18">
        <f>IF(K38="","",K38+L38)</f>
        <v/>
      </c>
      <c r="N38" s="16" t="n"/>
      <c r="O38" s="18">
        <f>IF(COUNT(G38,J38,M38)=0,"",MIN(G38,J38,M38))</f>
        <v/>
      </c>
      <c r="P38" s="14">
        <f>IF(O38="","",IF(O38=G38,"스페셜오퍼",IF(O38=J38,"도매매","도매꾹")))</f>
        <v/>
      </c>
      <c r="Q38" s="18">
        <f>IF(COUNT(G38,J38,M38)&lt;2,"",MAX(G38,J38,M38)-MIN(G38,J38,M38))</f>
        <v/>
      </c>
      <c r="R38" s="17" t="n"/>
      <c r="S38" s="17" t="n"/>
      <c r="T38" s="18">
        <f>IF(COUNT(R38,S38)=0,"",MIN(R38,S38))</f>
        <v/>
      </c>
      <c r="U38" s="19">
        <f>IF(OR(O38="",T38=""),"",O38/T38)</f>
        <v/>
      </c>
      <c r="V38" s="18">
        <f>IF(T38="","",ROUNDDOWN(T38*(1-설정!$B$3),-2))</f>
        <v/>
      </c>
      <c r="W38" s="17" t="n"/>
      <c r="X38" s="18">
        <f>IF(W38&lt;&gt;"",W38,V38)</f>
        <v/>
      </c>
      <c r="Y38" s="18">
        <f>IF(X38="","",X38*설정!$B$4)</f>
        <v/>
      </c>
      <c r="Z38" s="18">
        <f>IF(OR(X38="",O38=""),"",X38-Y38-O38-설정!$B$7)</f>
        <v/>
      </c>
      <c r="AA38" s="19">
        <f>IF(OR(Z38="",X38=0),"",Z38/X38)</f>
        <v/>
      </c>
      <c r="AB38" s="18">
        <f>IF(OR(T38="",O38=""),"",(T38+설정!$B$10)*(1-설정!$B$5)-O38)</f>
        <v/>
      </c>
      <c r="AC38" s="18">
        <f>IF(OR(T38="",O38=""),"",(T38+설정!$B$10)*(1-설정!$B$6)-O38)</f>
        <v/>
      </c>
      <c r="AD38" s="14">
        <f>IF(B38="","",IF(OR(O38="",T38=""),"가격 입력 필요",IF(Z38&lt;=0,"❌ 제외",IF(AND(P38="도매꾹",N38&gt;1),"⚠️ 최소수량 확인",IF(AND(AA38&gt;=설정!$B$8,Z38&gt;=설정!$B$9),"✅ 판매추천",IF(Z38&gt;0,"⚠️ 마진부족","❌ 제외"))))))</f>
        <v/>
      </c>
      <c r="AE38" s="15" t="n"/>
    </row>
    <row r="39">
      <c r="A39" s="14" t="n">
        <v>35</v>
      </c>
      <c r="B39" s="15" t="n"/>
      <c r="C39" s="15" t="n"/>
      <c r="D39" s="16" t="n"/>
      <c r="E39" s="17" t="n"/>
      <c r="F39" s="17" t="n"/>
      <c r="G39" s="18">
        <f>IF(E39="","",E39+F39)</f>
        <v/>
      </c>
      <c r="H39" s="17" t="n"/>
      <c r="I39" s="17" t="n"/>
      <c r="J39" s="18">
        <f>IF(H39="","",H39+I39)</f>
        <v/>
      </c>
      <c r="K39" s="17" t="n"/>
      <c r="L39" s="17" t="n"/>
      <c r="M39" s="18">
        <f>IF(K39="","",K39+L39)</f>
        <v/>
      </c>
      <c r="N39" s="16" t="n"/>
      <c r="O39" s="18">
        <f>IF(COUNT(G39,J39,M39)=0,"",MIN(G39,J39,M39))</f>
        <v/>
      </c>
      <c r="P39" s="14">
        <f>IF(O39="","",IF(O39=G39,"스페셜오퍼",IF(O39=J39,"도매매","도매꾹")))</f>
        <v/>
      </c>
      <c r="Q39" s="18">
        <f>IF(COUNT(G39,J39,M39)&lt;2,"",MAX(G39,J39,M39)-MIN(G39,J39,M39))</f>
        <v/>
      </c>
      <c r="R39" s="17" t="n"/>
      <c r="S39" s="17" t="n"/>
      <c r="T39" s="18">
        <f>IF(COUNT(R39,S39)=0,"",MIN(R39,S39))</f>
        <v/>
      </c>
      <c r="U39" s="19">
        <f>IF(OR(O39="",T39=""),"",O39/T39)</f>
        <v/>
      </c>
      <c r="V39" s="18">
        <f>IF(T39="","",ROUNDDOWN(T39*(1-설정!$B$3),-2))</f>
        <v/>
      </c>
      <c r="W39" s="17" t="n"/>
      <c r="X39" s="18">
        <f>IF(W39&lt;&gt;"",W39,V39)</f>
        <v/>
      </c>
      <c r="Y39" s="18">
        <f>IF(X39="","",X39*설정!$B$4)</f>
        <v/>
      </c>
      <c r="Z39" s="18">
        <f>IF(OR(X39="",O39=""),"",X39-Y39-O39-설정!$B$7)</f>
        <v/>
      </c>
      <c r="AA39" s="19">
        <f>IF(OR(Z39="",X39=0),"",Z39/X39)</f>
        <v/>
      </c>
      <c r="AB39" s="18">
        <f>IF(OR(T39="",O39=""),"",(T39+설정!$B$10)*(1-설정!$B$5)-O39)</f>
        <v/>
      </c>
      <c r="AC39" s="18">
        <f>IF(OR(T39="",O39=""),"",(T39+설정!$B$10)*(1-설정!$B$6)-O39)</f>
        <v/>
      </c>
      <c r="AD39" s="14">
        <f>IF(B39="","",IF(OR(O39="",T39=""),"가격 입력 필요",IF(Z39&lt;=0,"❌ 제외",IF(AND(P39="도매꾹",N39&gt;1),"⚠️ 최소수량 확인",IF(AND(AA39&gt;=설정!$B$8,Z39&gt;=설정!$B$9),"✅ 판매추천",IF(Z39&gt;0,"⚠️ 마진부족","❌ 제외"))))))</f>
        <v/>
      </c>
      <c r="AE39" s="15" t="n"/>
    </row>
    <row r="40">
      <c r="A40" s="14" t="n">
        <v>36</v>
      </c>
      <c r="B40" s="15" t="n"/>
      <c r="C40" s="15" t="n"/>
      <c r="D40" s="16" t="n"/>
      <c r="E40" s="17" t="n"/>
      <c r="F40" s="17" t="n"/>
      <c r="G40" s="18">
        <f>IF(E40="","",E40+F40)</f>
        <v/>
      </c>
      <c r="H40" s="17" t="n"/>
      <c r="I40" s="17" t="n"/>
      <c r="J40" s="18">
        <f>IF(H40="","",H40+I40)</f>
        <v/>
      </c>
      <c r="K40" s="17" t="n"/>
      <c r="L40" s="17" t="n"/>
      <c r="M40" s="18">
        <f>IF(K40="","",K40+L40)</f>
        <v/>
      </c>
      <c r="N40" s="16" t="n"/>
      <c r="O40" s="18">
        <f>IF(COUNT(G40,J40,M40)=0,"",MIN(G40,J40,M40))</f>
        <v/>
      </c>
      <c r="P40" s="14">
        <f>IF(O40="","",IF(O40=G40,"스페셜오퍼",IF(O40=J40,"도매매","도매꾹")))</f>
        <v/>
      </c>
      <c r="Q40" s="18">
        <f>IF(COUNT(G40,J40,M40)&lt;2,"",MAX(G40,J40,M40)-MIN(G40,J40,M40))</f>
        <v/>
      </c>
      <c r="R40" s="17" t="n"/>
      <c r="S40" s="17" t="n"/>
      <c r="T40" s="18">
        <f>IF(COUNT(R40,S40)=0,"",MIN(R40,S40))</f>
        <v/>
      </c>
      <c r="U40" s="19">
        <f>IF(OR(O40="",T40=""),"",O40/T40)</f>
        <v/>
      </c>
      <c r="V40" s="18">
        <f>IF(T40="","",ROUNDDOWN(T40*(1-설정!$B$3),-2))</f>
        <v/>
      </c>
      <c r="W40" s="17" t="n"/>
      <c r="X40" s="18">
        <f>IF(W40&lt;&gt;"",W40,V40)</f>
        <v/>
      </c>
      <c r="Y40" s="18">
        <f>IF(X40="","",X40*설정!$B$4)</f>
        <v/>
      </c>
      <c r="Z40" s="18">
        <f>IF(OR(X40="",O40=""),"",X40-Y40-O40-설정!$B$7)</f>
        <v/>
      </c>
      <c r="AA40" s="19">
        <f>IF(OR(Z40="",X40=0),"",Z40/X40)</f>
        <v/>
      </c>
      <c r="AB40" s="18">
        <f>IF(OR(T40="",O40=""),"",(T40+설정!$B$10)*(1-설정!$B$5)-O40)</f>
        <v/>
      </c>
      <c r="AC40" s="18">
        <f>IF(OR(T40="",O40=""),"",(T40+설정!$B$10)*(1-설정!$B$6)-O40)</f>
        <v/>
      </c>
      <c r="AD40" s="14">
        <f>IF(B40="","",IF(OR(O40="",T40=""),"가격 입력 필요",IF(Z40&lt;=0,"❌ 제외",IF(AND(P40="도매꾹",N40&gt;1),"⚠️ 최소수량 확인",IF(AND(AA40&gt;=설정!$B$8,Z40&gt;=설정!$B$9),"✅ 판매추천",IF(Z40&gt;0,"⚠️ 마진부족","❌ 제외"))))))</f>
        <v/>
      </c>
      <c r="AE40" s="15" t="n"/>
    </row>
    <row r="41">
      <c r="A41" s="14" t="n">
        <v>37</v>
      </c>
      <c r="B41" s="15" t="n"/>
      <c r="C41" s="15" t="n"/>
      <c r="D41" s="16" t="n"/>
      <c r="E41" s="17" t="n"/>
      <c r="F41" s="17" t="n"/>
      <c r="G41" s="18">
        <f>IF(E41="","",E41+F41)</f>
        <v/>
      </c>
      <c r="H41" s="17" t="n"/>
      <c r="I41" s="17" t="n"/>
      <c r="J41" s="18">
        <f>IF(H41="","",H41+I41)</f>
        <v/>
      </c>
      <c r="K41" s="17" t="n"/>
      <c r="L41" s="17" t="n"/>
      <c r="M41" s="18">
        <f>IF(K41="","",K41+L41)</f>
        <v/>
      </c>
      <c r="N41" s="16" t="n"/>
      <c r="O41" s="18">
        <f>IF(COUNT(G41,J41,M41)=0,"",MIN(G41,J41,M41))</f>
        <v/>
      </c>
      <c r="P41" s="14">
        <f>IF(O41="","",IF(O41=G41,"스페셜오퍼",IF(O41=J41,"도매매","도매꾹")))</f>
        <v/>
      </c>
      <c r="Q41" s="18">
        <f>IF(COUNT(G41,J41,M41)&lt;2,"",MAX(G41,J41,M41)-MIN(G41,J41,M41))</f>
        <v/>
      </c>
      <c r="R41" s="17" t="n"/>
      <c r="S41" s="17" t="n"/>
      <c r="T41" s="18">
        <f>IF(COUNT(R41,S41)=0,"",MIN(R41,S41))</f>
        <v/>
      </c>
      <c r="U41" s="19">
        <f>IF(OR(O41="",T41=""),"",O41/T41)</f>
        <v/>
      </c>
      <c r="V41" s="18">
        <f>IF(T41="","",ROUNDDOWN(T41*(1-설정!$B$3),-2))</f>
        <v/>
      </c>
      <c r="W41" s="17" t="n"/>
      <c r="X41" s="18">
        <f>IF(W41&lt;&gt;"",W41,V41)</f>
        <v/>
      </c>
      <c r="Y41" s="18">
        <f>IF(X41="","",X41*설정!$B$4)</f>
        <v/>
      </c>
      <c r="Z41" s="18">
        <f>IF(OR(X41="",O41=""),"",X41-Y41-O41-설정!$B$7)</f>
        <v/>
      </c>
      <c r="AA41" s="19">
        <f>IF(OR(Z41="",X41=0),"",Z41/X41)</f>
        <v/>
      </c>
      <c r="AB41" s="18">
        <f>IF(OR(T41="",O41=""),"",(T41+설정!$B$10)*(1-설정!$B$5)-O41)</f>
        <v/>
      </c>
      <c r="AC41" s="18">
        <f>IF(OR(T41="",O41=""),"",(T41+설정!$B$10)*(1-설정!$B$6)-O41)</f>
        <v/>
      </c>
      <c r="AD41" s="14">
        <f>IF(B41="","",IF(OR(O41="",T41=""),"가격 입력 필요",IF(Z41&lt;=0,"❌ 제외",IF(AND(P41="도매꾹",N41&gt;1),"⚠️ 최소수량 확인",IF(AND(AA41&gt;=설정!$B$8,Z41&gt;=설정!$B$9),"✅ 판매추천",IF(Z41&gt;0,"⚠️ 마진부족","❌ 제외"))))))</f>
        <v/>
      </c>
      <c r="AE41" s="15" t="n"/>
    </row>
    <row r="42">
      <c r="A42" s="14" t="n">
        <v>38</v>
      </c>
      <c r="B42" s="15" t="n"/>
      <c r="C42" s="15" t="n"/>
      <c r="D42" s="16" t="n"/>
      <c r="E42" s="17" t="n"/>
      <c r="F42" s="17" t="n"/>
      <c r="G42" s="18">
        <f>IF(E42="","",E42+F42)</f>
        <v/>
      </c>
      <c r="H42" s="17" t="n"/>
      <c r="I42" s="17" t="n"/>
      <c r="J42" s="18">
        <f>IF(H42="","",H42+I42)</f>
        <v/>
      </c>
      <c r="K42" s="17" t="n"/>
      <c r="L42" s="17" t="n"/>
      <c r="M42" s="18">
        <f>IF(K42="","",K42+L42)</f>
        <v/>
      </c>
      <c r="N42" s="16" t="n"/>
      <c r="O42" s="18">
        <f>IF(COUNT(G42,J42,M42)=0,"",MIN(G42,J42,M42))</f>
        <v/>
      </c>
      <c r="P42" s="14">
        <f>IF(O42="","",IF(O42=G42,"스페셜오퍼",IF(O42=J42,"도매매","도매꾹")))</f>
        <v/>
      </c>
      <c r="Q42" s="18">
        <f>IF(COUNT(G42,J42,M42)&lt;2,"",MAX(G42,J42,M42)-MIN(G42,J42,M42))</f>
        <v/>
      </c>
      <c r="R42" s="17" t="n"/>
      <c r="S42" s="17" t="n"/>
      <c r="T42" s="18">
        <f>IF(COUNT(R42,S42)=0,"",MIN(R42,S42))</f>
        <v/>
      </c>
      <c r="U42" s="19">
        <f>IF(OR(O42="",T42=""),"",O42/T42)</f>
        <v/>
      </c>
      <c r="V42" s="18">
        <f>IF(T42="","",ROUNDDOWN(T42*(1-설정!$B$3),-2))</f>
        <v/>
      </c>
      <c r="W42" s="17" t="n"/>
      <c r="X42" s="18">
        <f>IF(W42&lt;&gt;"",W42,V42)</f>
        <v/>
      </c>
      <c r="Y42" s="18">
        <f>IF(X42="","",X42*설정!$B$4)</f>
        <v/>
      </c>
      <c r="Z42" s="18">
        <f>IF(OR(X42="",O42=""),"",X42-Y42-O42-설정!$B$7)</f>
        <v/>
      </c>
      <c r="AA42" s="19">
        <f>IF(OR(Z42="",X42=0),"",Z42/X42)</f>
        <v/>
      </c>
      <c r="AB42" s="18">
        <f>IF(OR(T42="",O42=""),"",(T42+설정!$B$10)*(1-설정!$B$5)-O42)</f>
        <v/>
      </c>
      <c r="AC42" s="18">
        <f>IF(OR(T42="",O42=""),"",(T42+설정!$B$10)*(1-설정!$B$6)-O42)</f>
        <v/>
      </c>
      <c r="AD42" s="14">
        <f>IF(B42="","",IF(OR(O42="",T42=""),"가격 입력 필요",IF(Z42&lt;=0,"❌ 제외",IF(AND(P42="도매꾹",N42&gt;1),"⚠️ 최소수량 확인",IF(AND(AA42&gt;=설정!$B$8,Z42&gt;=설정!$B$9),"✅ 판매추천",IF(Z42&gt;0,"⚠️ 마진부족","❌ 제외"))))))</f>
        <v/>
      </c>
      <c r="AE42" s="15" t="n"/>
    </row>
    <row r="43">
      <c r="A43" s="14" t="n">
        <v>39</v>
      </c>
      <c r="B43" s="15" t="n"/>
      <c r="C43" s="15" t="n"/>
      <c r="D43" s="16" t="n"/>
      <c r="E43" s="17" t="n"/>
      <c r="F43" s="17" t="n"/>
      <c r="G43" s="18">
        <f>IF(E43="","",E43+F43)</f>
        <v/>
      </c>
      <c r="H43" s="17" t="n"/>
      <c r="I43" s="17" t="n"/>
      <c r="J43" s="18">
        <f>IF(H43="","",H43+I43)</f>
        <v/>
      </c>
      <c r="K43" s="17" t="n"/>
      <c r="L43" s="17" t="n"/>
      <c r="M43" s="18">
        <f>IF(K43="","",K43+L43)</f>
        <v/>
      </c>
      <c r="N43" s="16" t="n"/>
      <c r="O43" s="18">
        <f>IF(COUNT(G43,J43,M43)=0,"",MIN(G43,J43,M43))</f>
        <v/>
      </c>
      <c r="P43" s="14">
        <f>IF(O43="","",IF(O43=G43,"스페셜오퍼",IF(O43=J43,"도매매","도매꾹")))</f>
        <v/>
      </c>
      <c r="Q43" s="18">
        <f>IF(COUNT(G43,J43,M43)&lt;2,"",MAX(G43,J43,M43)-MIN(G43,J43,M43))</f>
        <v/>
      </c>
      <c r="R43" s="17" t="n"/>
      <c r="S43" s="17" t="n"/>
      <c r="T43" s="18">
        <f>IF(COUNT(R43,S43)=0,"",MIN(R43,S43))</f>
        <v/>
      </c>
      <c r="U43" s="19">
        <f>IF(OR(O43="",T43=""),"",O43/T43)</f>
        <v/>
      </c>
      <c r="V43" s="18">
        <f>IF(T43="","",ROUNDDOWN(T43*(1-설정!$B$3),-2))</f>
        <v/>
      </c>
      <c r="W43" s="17" t="n"/>
      <c r="X43" s="18">
        <f>IF(W43&lt;&gt;"",W43,V43)</f>
        <v/>
      </c>
      <c r="Y43" s="18">
        <f>IF(X43="","",X43*설정!$B$4)</f>
        <v/>
      </c>
      <c r="Z43" s="18">
        <f>IF(OR(X43="",O43=""),"",X43-Y43-O43-설정!$B$7)</f>
        <v/>
      </c>
      <c r="AA43" s="19">
        <f>IF(OR(Z43="",X43=0),"",Z43/X43)</f>
        <v/>
      </c>
      <c r="AB43" s="18">
        <f>IF(OR(T43="",O43=""),"",(T43+설정!$B$10)*(1-설정!$B$5)-O43)</f>
        <v/>
      </c>
      <c r="AC43" s="18">
        <f>IF(OR(T43="",O43=""),"",(T43+설정!$B$10)*(1-설정!$B$6)-O43)</f>
        <v/>
      </c>
      <c r="AD43" s="14">
        <f>IF(B43="","",IF(OR(O43="",T43=""),"가격 입력 필요",IF(Z43&lt;=0,"❌ 제외",IF(AND(P43="도매꾹",N43&gt;1),"⚠️ 최소수량 확인",IF(AND(AA43&gt;=설정!$B$8,Z43&gt;=설정!$B$9),"✅ 판매추천",IF(Z43&gt;0,"⚠️ 마진부족","❌ 제외"))))))</f>
        <v/>
      </c>
      <c r="AE43" s="15" t="n"/>
    </row>
    <row r="44">
      <c r="A44" s="14" t="n">
        <v>40</v>
      </c>
      <c r="B44" s="15" t="n"/>
      <c r="C44" s="15" t="n"/>
      <c r="D44" s="16" t="n"/>
      <c r="E44" s="17" t="n"/>
      <c r="F44" s="17" t="n"/>
      <c r="G44" s="18">
        <f>IF(E44="","",E44+F44)</f>
        <v/>
      </c>
      <c r="H44" s="17" t="n"/>
      <c r="I44" s="17" t="n"/>
      <c r="J44" s="18">
        <f>IF(H44="","",H44+I44)</f>
        <v/>
      </c>
      <c r="K44" s="17" t="n"/>
      <c r="L44" s="17" t="n"/>
      <c r="M44" s="18">
        <f>IF(K44="","",K44+L44)</f>
        <v/>
      </c>
      <c r="N44" s="16" t="n"/>
      <c r="O44" s="18">
        <f>IF(COUNT(G44,J44,M44)=0,"",MIN(G44,J44,M44))</f>
        <v/>
      </c>
      <c r="P44" s="14">
        <f>IF(O44="","",IF(O44=G44,"스페셜오퍼",IF(O44=J44,"도매매","도매꾹")))</f>
        <v/>
      </c>
      <c r="Q44" s="18">
        <f>IF(COUNT(G44,J44,M44)&lt;2,"",MAX(G44,J44,M44)-MIN(G44,J44,M44))</f>
        <v/>
      </c>
      <c r="R44" s="17" t="n"/>
      <c r="S44" s="17" t="n"/>
      <c r="T44" s="18">
        <f>IF(COUNT(R44,S44)=0,"",MIN(R44,S44))</f>
        <v/>
      </c>
      <c r="U44" s="19">
        <f>IF(OR(O44="",T44=""),"",O44/T44)</f>
        <v/>
      </c>
      <c r="V44" s="18">
        <f>IF(T44="","",ROUNDDOWN(T44*(1-설정!$B$3),-2))</f>
        <v/>
      </c>
      <c r="W44" s="17" t="n"/>
      <c r="X44" s="18">
        <f>IF(W44&lt;&gt;"",W44,V44)</f>
        <v/>
      </c>
      <c r="Y44" s="18">
        <f>IF(X44="","",X44*설정!$B$4)</f>
        <v/>
      </c>
      <c r="Z44" s="18">
        <f>IF(OR(X44="",O44=""),"",X44-Y44-O44-설정!$B$7)</f>
        <v/>
      </c>
      <c r="AA44" s="19">
        <f>IF(OR(Z44="",X44=0),"",Z44/X44)</f>
        <v/>
      </c>
      <c r="AB44" s="18">
        <f>IF(OR(T44="",O44=""),"",(T44+설정!$B$10)*(1-설정!$B$5)-O44)</f>
        <v/>
      </c>
      <c r="AC44" s="18">
        <f>IF(OR(T44="",O44=""),"",(T44+설정!$B$10)*(1-설정!$B$6)-O44)</f>
        <v/>
      </c>
      <c r="AD44" s="14">
        <f>IF(B44="","",IF(OR(O44="",T44=""),"가격 입력 필요",IF(Z44&lt;=0,"❌ 제외",IF(AND(P44="도매꾹",N44&gt;1),"⚠️ 최소수량 확인",IF(AND(AA44&gt;=설정!$B$8,Z44&gt;=설정!$B$9),"✅ 판매추천",IF(Z44&gt;0,"⚠️ 마진부족","❌ 제외"))))))</f>
        <v/>
      </c>
      <c r="AE44" s="15" t="n"/>
    </row>
    <row r="45">
      <c r="A45" s="14" t="n">
        <v>41</v>
      </c>
      <c r="B45" s="15" t="n"/>
      <c r="C45" s="15" t="n"/>
      <c r="D45" s="16" t="n"/>
      <c r="E45" s="17" t="n"/>
      <c r="F45" s="17" t="n"/>
      <c r="G45" s="18">
        <f>IF(E45="","",E45+F45)</f>
        <v/>
      </c>
      <c r="H45" s="17" t="n"/>
      <c r="I45" s="17" t="n"/>
      <c r="J45" s="18">
        <f>IF(H45="","",H45+I45)</f>
        <v/>
      </c>
      <c r="K45" s="17" t="n"/>
      <c r="L45" s="17" t="n"/>
      <c r="M45" s="18">
        <f>IF(K45="","",K45+L45)</f>
        <v/>
      </c>
      <c r="N45" s="16" t="n"/>
      <c r="O45" s="18">
        <f>IF(COUNT(G45,J45,M45)=0,"",MIN(G45,J45,M45))</f>
        <v/>
      </c>
      <c r="P45" s="14">
        <f>IF(O45="","",IF(O45=G45,"스페셜오퍼",IF(O45=J45,"도매매","도매꾹")))</f>
        <v/>
      </c>
      <c r="Q45" s="18">
        <f>IF(COUNT(G45,J45,M45)&lt;2,"",MAX(G45,J45,M45)-MIN(G45,J45,M45))</f>
        <v/>
      </c>
      <c r="R45" s="17" t="n"/>
      <c r="S45" s="17" t="n"/>
      <c r="T45" s="18">
        <f>IF(COUNT(R45,S45)=0,"",MIN(R45,S45))</f>
        <v/>
      </c>
      <c r="U45" s="19">
        <f>IF(OR(O45="",T45=""),"",O45/T45)</f>
        <v/>
      </c>
      <c r="V45" s="18">
        <f>IF(T45="","",ROUNDDOWN(T45*(1-설정!$B$3),-2))</f>
        <v/>
      </c>
      <c r="W45" s="17" t="n"/>
      <c r="X45" s="18">
        <f>IF(W45&lt;&gt;"",W45,V45)</f>
        <v/>
      </c>
      <c r="Y45" s="18">
        <f>IF(X45="","",X45*설정!$B$4)</f>
        <v/>
      </c>
      <c r="Z45" s="18">
        <f>IF(OR(X45="",O45=""),"",X45-Y45-O45-설정!$B$7)</f>
        <v/>
      </c>
      <c r="AA45" s="19">
        <f>IF(OR(Z45="",X45=0),"",Z45/X45)</f>
        <v/>
      </c>
      <c r="AB45" s="18">
        <f>IF(OR(T45="",O45=""),"",(T45+설정!$B$10)*(1-설정!$B$5)-O45)</f>
        <v/>
      </c>
      <c r="AC45" s="18">
        <f>IF(OR(T45="",O45=""),"",(T45+설정!$B$10)*(1-설정!$B$6)-O45)</f>
        <v/>
      </c>
      <c r="AD45" s="14">
        <f>IF(B45="","",IF(OR(O45="",T45=""),"가격 입력 필요",IF(Z45&lt;=0,"❌ 제외",IF(AND(P45="도매꾹",N45&gt;1),"⚠️ 최소수량 확인",IF(AND(AA45&gt;=설정!$B$8,Z45&gt;=설정!$B$9),"✅ 판매추천",IF(Z45&gt;0,"⚠️ 마진부족","❌ 제외"))))))</f>
        <v/>
      </c>
      <c r="AE45" s="15" t="n"/>
    </row>
    <row r="46">
      <c r="A46" s="14" t="n">
        <v>42</v>
      </c>
      <c r="B46" s="15" t="n"/>
      <c r="C46" s="15" t="n"/>
      <c r="D46" s="16" t="n"/>
      <c r="E46" s="17" t="n"/>
      <c r="F46" s="17" t="n"/>
      <c r="G46" s="18">
        <f>IF(E46="","",E46+F46)</f>
        <v/>
      </c>
      <c r="H46" s="17" t="n"/>
      <c r="I46" s="17" t="n"/>
      <c r="J46" s="18">
        <f>IF(H46="","",H46+I46)</f>
        <v/>
      </c>
      <c r="K46" s="17" t="n"/>
      <c r="L46" s="17" t="n"/>
      <c r="M46" s="18">
        <f>IF(K46="","",K46+L46)</f>
        <v/>
      </c>
      <c r="N46" s="16" t="n"/>
      <c r="O46" s="18">
        <f>IF(COUNT(G46,J46,M46)=0,"",MIN(G46,J46,M46))</f>
        <v/>
      </c>
      <c r="P46" s="14">
        <f>IF(O46="","",IF(O46=G46,"스페셜오퍼",IF(O46=J46,"도매매","도매꾹")))</f>
        <v/>
      </c>
      <c r="Q46" s="18">
        <f>IF(COUNT(G46,J46,M46)&lt;2,"",MAX(G46,J46,M46)-MIN(G46,J46,M46))</f>
        <v/>
      </c>
      <c r="R46" s="17" t="n"/>
      <c r="S46" s="17" t="n"/>
      <c r="T46" s="18">
        <f>IF(COUNT(R46,S46)=0,"",MIN(R46,S46))</f>
        <v/>
      </c>
      <c r="U46" s="19">
        <f>IF(OR(O46="",T46=""),"",O46/T46)</f>
        <v/>
      </c>
      <c r="V46" s="18">
        <f>IF(T46="","",ROUNDDOWN(T46*(1-설정!$B$3),-2))</f>
        <v/>
      </c>
      <c r="W46" s="17" t="n"/>
      <c r="X46" s="18">
        <f>IF(W46&lt;&gt;"",W46,V46)</f>
        <v/>
      </c>
      <c r="Y46" s="18">
        <f>IF(X46="","",X46*설정!$B$4)</f>
        <v/>
      </c>
      <c r="Z46" s="18">
        <f>IF(OR(X46="",O46=""),"",X46-Y46-O46-설정!$B$7)</f>
        <v/>
      </c>
      <c r="AA46" s="19">
        <f>IF(OR(Z46="",X46=0),"",Z46/X46)</f>
        <v/>
      </c>
      <c r="AB46" s="18">
        <f>IF(OR(T46="",O46=""),"",(T46+설정!$B$10)*(1-설정!$B$5)-O46)</f>
        <v/>
      </c>
      <c r="AC46" s="18">
        <f>IF(OR(T46="",O46=""),"",(T46+설정!$B$10)*(1-설정!$B$6)-O46)</f>
        <v/>
      </c>
      <c r="AD46" s="14">
        <f>IF(B46="","",IF(OR(O46="",T46=""),"가격 입력 필요",IF(Z46&lt;=0,"❌ 제외",IF(AND(P46="도매꾹",N46&gt;1),"⚠️ 최소수량 확인",IF(AND(AA46&gt;=설정!$B$8,Z46&gt;=설정!$B$9),"✅ 판매추천",IF(Z46&gt;0,"⚠️ 마진부족","❌ 제외"))))))</f>
        <v/>
      </c>
      <c r="AE46" s="15" t="n"/>
    </row>
    <row r="47">
      <c r="A47" s="14" t="n">
        <v>43</v>
      </c>
      <c r="B47" s="15" t="n"/>
      <c r="C47" s="15" t="n"/>
      <c r="D47" s="16" t="n"/>
      <c r="E47" s="17" t="n"/>
      <c r="F47" s="17" t="n"/>
      <c r="G47" s="18">
        <f>IF(E47="","",E47+F47)</f>
        <v/>
      </c>
      <c r="H47" s="17" t="n"/>
      <c r="I47" s="17" t="n"/>
      <c r="J47" s="18">
        <f>IF(H47="","",H47+I47)</f>
        <v/>
      </c>
      <c r="K47" s="17" t="n"/>
      <c r="L47" s="17" t="n"/>
      <c r="M47" s="18">
        <f>IF(K47="","",K47+L47)</f>
        <v/>
      </c>
      <c r="N47" s="16" t="n"/>
      <c r="O47" s="18">
        <f>IF(COUNT(G47,J47,M47)=0,"",MIN(G47,J47,M47))</f>
        <v/>
      </c>
      <c r="P47" s="14">
        <f>IF(O47="","",IF(O47=G47,"스페셜오퍼",IF(O47=J47,"도매매","도매꾹")))</f>
        <v/>
      </c>
      <c r="Q47" s="18">
        <f>IF(COUNT(G47,J47,M47)&lt;2,"",MAX(G47,J47,M47)-MIN(G47,J47,M47))</f>
        <v/>
      </c>
      <c r="R47" s="17" t="n"/>
      <c r="S47" s="17" t="n"/>
      <c r="T47" s="18">
        <f>IF(COUNT(R47,S47)=0,"",MIN(R47,S47))</f>
        <v/>
      </c>
      <c r="U47" s="19">
        <f>IF(OR(O47="",T47=""),"",O47/T47)</f>
        <v/>
      </c>
      <c r="V47" s="18">
        <f>IF(T47="","",ROUNDDOWN(T47*(1-설정!$B$3),-2))</f>
        <v/>
      </c>
      <c r="W47" s="17" t="n"/>
      <c r="X47" s="18">
        <f>IF(W47&lt;&gt;"",W47,V47)</f>
        <v/>
      </c>
      <c r="Y47" s="18">
        <f>IF(X47="","",X47*설정!$B$4)</f>
        <v/>
      </c>
      <c r="Z47" s="18">
        <f>IF(OR(X47="",O47=""),"",X47-Y47-O47-설정!$B$7)</f>
        <v/>
      </c>
      <c r="AA47" s="19">
        <f>IF(OR(Z47="",X47=0),"",Z47/X47)</f>
        <v/>
      </c>
      <c r="AB47" s="18">
        <f>IF(OR(T47="",O47=""),"",(T47+설정!$B$10)*(1-설정!$B$5)-O47)</f>
        <v/>
      </c>
      <c r="AC47" s="18">
        <f>IF(OR(T47="",O47=""),"",(T47+설정!$B$10)*(1-설정!$B$6)-O47)</f>
        <v/>
      </c>
      <c r="AD47" s="14">
        <f>IF(B47="","",IF(OR(O47="",T47=""),"가격 입력 필요",IF(Z47&lt;=0,"❌ 제외",IF(AND(P47="도매꾹",N47&gt;1),"⚠️ 최소수량 확인",IF(AND(AA47&gt;=설정!$B$8,Z47&gt;=설정!$B$9),"✅ 판매추천",IF(Z47&gt;0,"⚠️ 마진부족","❌ 제외"))))))</f>
        <v/>
      </c>
      <c r="AE47" s="15" t="n"/>
    </row>
    <row r="48">
      <c r="A48" s="14" t="n">
        <v>44</v>
      </c>
      <c r="B48" s="15" t="n"/>
      <c r="C48" s="15" t="n"/>
      <c r="D48" s="16" t="n"/>
      <c r="E48" s="17" t="n"/>
      <c r="F48" s="17" t="n"/>
      <c r="G48" s="18">
        <f>IF(E48="","",E48+F48)</f>
        <v/>
      </c>
      <c r="H48" s="17" t="n"/>
      <c r="I48" s="17" t="n"/>
      <c r="J48" s="18">
        <f>IF(H48="","",H48+I48)</f>
        <v/>
      </c>
      <c r="K48" s="17" t="n"/>
      <c r="L48" s="17" t="n"/>
      <c r="M48" s="18">
        <f>IF(K48="","",K48+L48)</f>
        <v/>
      </c>
      <c r="N48" s="16" t="n"/>
      <c r="O48" s="18">
        <f>IF(COUNT(G48,J48,M48)=0,"",MIN(G48,J48,M48))</f>
        <v/>
      </c>
      <c r="P48" s="14">
        <f>IF(O48="","",IF(O48=G48,"스페셜오퍼",IF(O48=J48,"도매매","도매꾹")))</f>
        <v/>
      </c>
      <c r="Q48" s="18">
        <f>IF(COUNT(G48,J48,M48)&lt;2,"",MAX(G48,J48,M48)-MIN(G48,J48,M48))</f>
        <v/>
      </c>
      <c r="R48" s="17" t="n"/>
      <c r="S48" s="17" t="n"/>
      <c r="T48" s="18">
        <f>IF(COUNT(R48,S48)=0,"",MIN(R48,S48))</f>
        <v/>
      </c>
      <c r="U48" s="19">
        <f>IF(OR(O48="",T48=""),"",O48/T48)</f>
        <v/>
      </c>
      <c r="V48" s="18">
        <f>IF(T48="","",ROUNDDOWN(T48*(1-설정!$B$3),-2))</f>
        <v/>
      </c>
      <c r="W48" s="17" t="n"/>
      <c r="X48" s="18">
        <f>IF(W48&lt;&gt;"",W48,V48)</f>
        <v/>
      </c>
      <c r="Y48" s="18">
        <f>IF(X48="","",X48*설정!$B$4)</f>
        <v/>
      </c>
      <c r="Z48" s="18">
        <f>IF(OR(X48="",O48=""),"",X48-Y48-O48-설정!$B$7)</f>
        <v/>
      </c>
      <c r="AA48" s="19">
        <f>IF(OR(Z48="",X48=0),"",Z48/X48)</f>
        <v/>
      </c>
      <c r="AB48" s="18">
        <f>IF(OR(T48="",O48=""),"",(T48+설정!$B$10)*(1-설정!$B$5)-O48)</f>
        <v/>
      </c>
      <c r="AC48" s="18">
        <f>IF(OR(T48="",O48=""),"",(T48+설정!$B$10)*(1-설정!$B$6)-O48)</f>
        <v/>
      </c>
      <c r="AD48" s="14">
        <f>IF(B48="","",IF(OR(O48="",T48=""),"가격 입력 필요",IF(Z48&lt;=0,"❌ 제외",IF(AND(P48="도매꾹",N48&gt;1),"⚠️ 최소수량 확인",IF(AND(AA48&gt;=설정!$B$8,Z48&gt;=설정!$B$9),"✅ 판매추천",IF(Z48&gt;0,"⚠️ 마진부족","❌ 제외"))))))</f>
        <v/>
      </c>
      <c r="AE48" s="15" t="n"/>
    </row>
    <row r="49">
      <c r="A49" s="14" t="n">
        <v>45</v>
      </c>
      <c r="B49" s="15" t="n"/>
      <c r="C49" s="15" t="n"/>
      <c r="D49" s="16" t="n"/>
      <c r="E49" s="17" t="n"/>
      <c r="F49" s="17" t="n"/>
      <c r="G49" s="18">
        <f>IF(E49="","",E49+F49)</f>
        <v/>
      </c>
      <c r="H49" s="17" t="n"/>
      <c r="I49" s="17" t="n"/>
      <c r="J49" s="18">
        <f>IF(H49="","",H49+I49)</f>
        <v/>
      </c>
      <c r="K49" s="17" t="n"/>
      <c r="L49" s="17" t="n"/>
      <c r="M49" s="18">
        <f>IF(K49="","",K49+L49)</f>
        <v/>
      </c>
      <c r="N49" s="16" t="n"/>
      <c r="O49" s="18">
        <f>IF(COUNT(G49,J49,M49)=0,"",MIN(G49,J49,M49))</f>
        <v/>
      </c>
      <c r="P49" s="14">
        <f>IF(O49="","",IF(O49=G49,"스페셜오퍼",IF(O49=J49,"도매매","도매꾹")))</f>
        <v/>
      </c>
      <c r="Q49" s="18">
        <f>IF(COUNT(G49,J49,M49)&lt;2,"",MAX(G49,J49,M49)-MIN(G49,J49,M49))</f>
        <v/>
      </c>
      <c r="R49" s="17" t="n"/>
      <c r="S49" s="17" t="n"/>
      <c r="T49" s="18">
        <f>IF(COUNT(R49,S49)=0,"",MIN(R49,S49))</f>
        <v/>
      </c>
      <c r="U49" s="19">
        <f>IF(OR(O49="",T49=""),"",O49/T49)</f>
        <v/>
      </c>
      <c r="V49" s="18">
        <f>IF(T49="","",ROUNDDOWN(T49*(1-설정!$B$3),-2))</f>
        <v/>
      </c>
      <c r="W49" s="17" t="n"/>
      <c r="X49" s="18">
        <f>IF(W49&lt;&gt;"",W49,V49)</f>
        <v/>
      </c>
      <c r="Y49" s="18">
        <f>IF(X49="","",X49*설정!$B$4)</f>
        <v/>
      </c>
      <c r="Z49" s="18">
        <f>IF(OR(X49="",O49=""),"",X49-Y49-O49-설정!$B$7)</f>
        <v/>
      </c>
      <c r="AA49" s="19">
        <f>IF(OR(Z49="",X49=0),"",Z49/X49)</f>
        <v/>
      </c>
      <c r="AB49" s="18">
        <f>IF(OR(T49="",O49=""),"",(T49+설정!$B$10)*(1-설정!$B$5)-O49)</f>
        <v/>
      </c>
      <c r="AC49" s="18">
        <f>IF(OR(T49="",O49=""),"",(T49+설정!$B$10)*(1-설정!$B$6)-O49)</f>
        <v/>
      </c>
      <c r="AD49" s="14">
        <f>IF(B49="","",IF(OR(O49="",T49=""),"가격 입력 필요",IF(Z49&lt;=0,"❌ 제외",IF(AND(P49="도매꾹",N49&gt;1),"⚠️ 최소수량 확인",IF(AND(AA49&gt;=설정!$B$8,Z49&gt;=설정!$B$9),"✅ 판매추천",IF(Z49&gt;0,"⚠️ 마진부족","❌ 제외"))))))</f>
        <v/>
      </c>
      <c r="AE49" s="15" t="n"/>
    </row>
    <row r="50">
      <c r="A50" s="14" t="n">
        <v>46</v>
      </c>
      <c r="B50" s="15" t="n"/>
      <c r="C50" s="15" t="n"/>
      <c r="D50" s="16" t="n"/>
      <c r="E50" s="17" t="n"/>
      <c r="F50" s="17" t="n"/>
      <c r="G50" s="18">
        <f>IF(E50="","",E50+F50)</f>
        <v/>
      </c>
      <c r="H50" s="17" t="n"/>
      <c r="I50" s="17" t="n"/>
      <c r="J50" s="18">
        <f>IF(H50="","",H50+I50)</f>
        <v/>
      </c>
      <c r="K50" s="17" t="n"/>
      <c r="L50" s="17" t="n"/>
      <c r="M50" s="18">
        <f>IF(K50="","",K50+L50)</f>
        <v/>
      </c>
      <c r="N50" s="16" t="n"/>
      <c r="O50" s="18">
        <f>IF(COUNT(G50,J50,M50)=0,"",MIN(G50,J50,M50))</f>
        <v/>
      </c>
      <c r="P50" s="14">
        <f>IF(O50="","",IF(O50=G50,"스페셜오퍼",IF(O50=J50,"도매매","도매꾹")))</f>
        <v/>
      </c>
      <c r="Q50" s="18">
        <f>IF(COUNT(G50,J50,M50)&lt;2,"",MAX(G50,J50,M50)-MIN(G50,J50,M50))</f>
        <v/>
      </c>
      <c r="R50" s="17" t="n"/>
      <c r="S50" s="17" t="n"/>
      <c r="T50" s="18">
        <f>IF(COUNT(R50,S50)=0,"",MIN(R50,S50))</f>
        <v/>
      </c>
      <c r="U50" s="19">
        <f>IF(OR(O50="",T50=""),"",O50/T50)</f>
        <v/>
      </c>
      <c r="V50" s="18">
        <f>IF(T50="","",ROUNDDOWN(T50*(1-설정!$B$3),-2))</f>
        <v/>
      </c>
      <c r="W50" s="17" t="n"/>
      <c r="X50" s="18">
        <f>IF(W50&lt;&gt;"",W50,V50)</f>
        <v/>
      </c>
      <c r="Y50" s="18">
        <f>IF(X50="","",X50*설정!$B$4)</f>
        <v/>
      </c>
      <c r="Z50" s="18">
        <f>IF(OR(X50="",O50=""),"",X50-Y50-O50-설정!$B$7)</f>
        <v/>
      </c>
      <c r="AA50" s="19">
        <f>IF(OR(Z50="",X50=0),"",Z50/X50)</f>
        <v/>
      </c>
      <c r="AB50" s="18">
        <f>IF(OR(T50="",O50=""),"",(T50+설정!$B$10)*(1-설정!$B$5)-O50)</f>
        <v/>
      </c>
      <c r="AC50" s="18">
        <f>IF(OR(T50="",O50=""),"",(T50+설정!$B$10)*(1-설정!$B$6)-O50)</f>
        <v/>
      </c>
      <c r="AD50" s="14">
        <f>IF(B50="","",IF(OR(O50="",T50=""),"가격 입력 필요",IF(Z50&lt;=0,"❌ 제외",IF(AND(P50="도매꾹",N50&gt;1),"⚠️ 최소수량 확인",IF(AND(AA50&gt;=설정!$B$8,Z50&gt;=설정!$B$9),"✅ 판매추천",IF(Z50&gt;0,"⚠️ 마진부족","❌ 제외"))))))</f>
        <v/>
      </c>
      <c r="AE50" s="15" t="n"/>
    </row>
    <row r="51">
      <c r="A51" s="14" t="n">
        <v>47</v>
      </c>
      <c r="B51" s="15" t="n"/>
      <c r="C51" s="15" t="n"/>
      <c r="D51" s="16" t="n"/>
      <c r="E51" s="17" t="n"/>
      <c r="F51" s="17" t="n"/>
      <c r="G51" s="18">
        <f>IF(E51="","",E51+F51)</f>
        <v/>
      </c>
      <c r="H51" s="17" t="n"/>
      <c r="I51" s="17" t="n"/>
      <c r="J51" s="18">
        <f>IF(H51="","",H51+I51)</f>
        <v/>
      </c>
      <c r="K51" s="17" t="n"/>
      <c r="L51" s="17" t="n"/>
      <c r="M51" s="18">
        <f>IF(K51="","",K51+L51)</f>
        <v/>
      </c>
      <c r="N51" s="16" t="n"/>
      <c r="O51" s="18">
        <f>IF(COUNT(G51,J51,M51)=0,"",MIN(G51,J51,M51))</f>
        <v/>
      </c>
      <c r="P51" s="14">
        <f>IF(O51="","",IF(O51=G51,"스페셜오퍼",IF(O51=J51,"도매매","도매꾹")))</f>
        <v/>
      </c>
      <c r="Q51" s="18">
        <f>IF(COUNT(G51,J51,M51)&lt;2,"",MAX(G51,J51,M51)-MIN(G51,J51,M51))</f>
        <v/>
      </c>
      <c r="R51" s="17" t="n"/>
      <c r="S51" s="17" t="n"/>
      <c r="T51" s="18">
        <f>IF(COUNT(R51,S51)=0,"",MIN(R51,S51))</f>
        <v/>
      </c>
      <c r="U51" s="19">
        <f>IF(OR(O51="",T51=""),"",O51/T51)</f>
        <v/>
      </c>
      <c r="V51" s="18">
        <f>IF(T51="","",ROUNDDOWN(T51*(1-설정!$B$3),-2))</f>
        <v/>
      </c>
      <c r="W51" s="17" t="n"/>
      <c r="X51" s="18">
        <f>IF(W51&lt;&gt;"",W51,V51)</f>
        <v/>
      </c>
      <c r="Y51" s="18">
        <f>IF(X51="","",X51*설정!$B$4)</f>
        <v/>
      </c>
      <c r="Z51" s="18">
        <f>IF(OR(X51="",O51=""),"",X51-Y51-O51-설정!$B$7)</f>
        <v/>
      </c>
      <c r="AA51" s="19">
        <f>IF(OR(Z51="",X51=0),"",Z51/X51)</f>
        <v/>
      </c>
      <c r="AB51" s="18">
        <f>IF(OR(T51="",O51=""),"",(T51+설정!$B$10)*(1-설정!$B$5)-O51)</f>
        <v/>
      </c>
      <c r="AC51" s="18">
        <f>IF(OR(T51="",O51=""),"",(T51+설정!$B$10)*(1-설정!$B$6)-O51)</f>
        <v/>
      </c>
      <c r="AD51" s="14">
        <f>IF(B51="","",IF(OR(O51="",T51=""),"가격 입력 필요",IF(Z51&lt;=0,"❌ 제외",IF(AND(P51="도매꾹",N51&gt;1),"⚠️ 최소수량 확인",IF(AND(AA51&gt;=설정!$B$8,Z51&gt;=설정!$B$9),"✅ 판매추천",IF(Z51&gt;0,"⚠️ 마진부족","❌ 제외"))))))</f>
        <v/>
      </c>
      <c r="AE51" s="15" t="n"/>
    </row>
    <row r="52">
      <c r="A52" s="14" t="n">
        <v>48</v>
      </c>
      <c r="B52" s="15" t="n"/>
      <c r="C52" s="15" t="n"/>
      <c r="D52" s="16" t="n"/>
      <c r="E52" s="17" t="n"/>
      <c r="F52" s="17" t="n"/>
      <c r="G52" s="18">
        <f>IF(E52="","",E52+F52)</f>
        <v/>
      </c>
      <c r="H52" s="17" t="n"/>
      <c r="I52" s="17" t="n"/>
      <c r="J52" s="18">
        <f>IF(H52="","",H52+I52)</f>
        <v/>
      </c>
      <c r="K52" s="17" t="n"/>
      <c r="L52" s="17" t="n"/>
      <c r="M52" s="18">
        <f>IF(K52="","",K52+L52)</f>
        <v/>
      </c>
      <c r="N52" s="16" t="n"/>
      <c r="O52" s="18">
        <f>IF(COUNT(G52,J52,M52)=0,"",MIN(G52,J52,M52))</f>
        <v/>
      </c>
      <c r="P52" s="14">
        <f>IF(O52="","",IF(O52=G52,"스페셜오퍼",IF(O52=J52,"도매매","도매꾹")))</f>
        <v/>
      </c>
      <c r="Q52" s="18">
        <f>IF(COUNT(G52,J52,M52)&lt;2,"",MAX(G52,J52,M52)-MIN(G52,J52,M52))</f>
        <v/>
      </c>
      <c r="R52" s="17" t="n"/>
      <c r="S52" s="17" t="n"/>
      <c r="T52" s="18">
        <f>IF(COUNT(R52,S52)=0,"",MIN(R52,S52))</f>
        <v/>
      </c>
      <c r="U52" s="19">
        <f>IF(OR(O52="",T52=""),"",O52/T52)</f>
        <v/>
      </c>
      <c r="V52" s="18">
        <f>IF(T52="","",ROUNDDOWN(T52*(1-설정!$B$3),-2))</f>
        <v/>
      </c>
      <c r="W52" s="17" t="n"/>
      <c r="X52" s="18">
        <f>IF(W52&lt;&gt;"",W52,V52)</f>
        <v/>
      </c>
      <c r="Y52" s="18">
        <f>IF(X52="","",X52*설정!$B$4)</f>
        <v/>
      </c>
      <c r="Z52" s="18">
        <f>IF(OR(X52="",O52=""),"",X52-Y52-O52-설정!$B$7)</f>
        <v/>
      </c>
      <c r="AA52" s="19">
        <f>IF(OR(Z52="",X52=0),"",Z52/X52)</f>
        <v/>
      </c>
      <c r="AB52" s="18">
        <f>IF(OR(T52="",O52=""),"",(T52+설정!$B$10)*(1-설정!$B$5)-O52)</f>
        <v/>
      </c>
      <c r="AC52" s="18">
        <f>IF(OR(T52="",O52=""),"",(T52+설정!$B$10)*(1-설정!$B$6)-O52)</f>
        <v/>
      </c>
      <c r="AD52" s="14">
        <f>IF(B52="","",IF(OR(O52="",T52=""),"가격 입력 필요",IF(Z52&lt;=0,"❌ 제외",IF(AND(P52="도매꾹",N52&gt;1),"⚠️ 최소수량 확인",IF(AND(AA52&gt;=설정!$B$8,Z52&gt;=설정!$B$9),"✅ 판매추천",IF(Z52&gt;0,"⚠️ 마진부족","❌ 제외"))))))</f>
        <v/>
      </c>
      <c r="AE52" s="15" t="n"/>
    </row>
    <row r="53">
      <c r="A53" s="14" t="n">
        <v>49</v>
      </c>
      <c r="B53" s="15" t="n"/>
      <c r="C53" s="15" t="n"/>
      <c r="D53" s="16" t="n"/>
      <c r="E53" s="17" t="n"/>
      <c r="F53" s="17" t="n"/>
      <c r="G53" s="18">
        <f>IF(E53="","",E53+F53)</f>
        <v/>
      </c>
      <c r="H53" s="17" t="n"/>
      <c r="I53" s="17" t="n"/>
      <c r="J53" s="18">
        <f>IF(H53="","",H53+I53)</f>
        <v/>
      </c>
      <c r="K53" s="17" t="n"/>
      <c r="L53" s="17" t="n"/>
      <c r="M53" s="18">
        <f>IF(K53="","",K53+L53)</f>
        <v/>
      </c>
      <c r="N53" s="16" t="n"/>
      <c r="O53" s="18">
        <f>IF(COUNT(G53,J53,M53)=0,"",MIN(G53,J53,M53))</f>
        <v/>
      </c>
      <c r="P53" s="14">
        <f>IF(O53="","",IF(O53=G53,"스페셜오퍼",IF(O53=J53,"도매매","도매꾹")))</f>
        <v/>
      </c>
      <c r="Q53" s="18">
        <f>IF(COUNT(G53,J53,M53)&lt;2,"",MAX(G53,J53,M53)-MIN(G53,J53,M53))</f>
        <v/>
      </c>
      <c r="R53" s="17" t="n"/>
      <c r="S53" s="17" t="n"/>
      <c r="T53" s="18">
        <f>IF(COUNT(R53,S53)=0,"",MIN(R53,S53))</f>
        <v/>
      </c>
      <c r="U53" s="19">
        <f>IF(OR(O53="",T53=""),"",O53/T53)</f>
        <v/>
      </c>
      <c r="V53" s="18">
        <f>IF(T53="","",ROUNDDOWN(T53*(1-설정!$B$3),-2))</f>
        <v/>
      </c>
      <c r="W53" s="17" t="n"/>
      <c r="X53" s="18">
        <f>IF(W53&lt;&gt;"",W53,V53)</f>
        <v/>
      </c>
      <c r="Y53" s="18">
        <f>IF(X53="","",X53*설정!$B$4)</f>
        <v/>
      </c>
      <c r="Z53" s="18">
        <f>IF(OR(X53="",O53=""),"",X53-Y53-O53-설정!$B$7)</f>
        <v/>
      </c>
      <c r="AA53" s="19">
        <f>IF(OR(Z53="",X53=0),"",Z53/X53)</f>
        <v/>
      </c>
      <c r="AB53" s="18">
        <f>IF(OR(T53="",O53=""),"",(T53+설정!$B$10)*(1-설정!$B$5)-O53)</f>
        <v/>
      </c>
      <c r="AC53" s="18">
        <f>IF(OR(T53="",O53=""),"",(T53+설정!$B$10)*(1-설정!$B$6)-O53)</f>
        <v/>
      </c>
      <c r="AD53" s="14">
        <f>IF(B53="","",IF(OR(O53="",T53=""),"가격 입력 필요",IF(Z53&lt;=0,"❌ 제외",IF(AND(P53="도매꾹",N53&gt;1),"⚠️ 최소수량 확인",IF(AND(AA53&gt;=설정!$B$8,Z53&gt;=설정!$B$9),"✅ 판매추천",IF(Z53&gt;0,"⚠️ 마진부족","❌ 제외"))))))</f>
        <v/>
      </c>
      <c r="AE53" s="15" t="n"/>
    </row>
    <row r="54">
      <c r="A54" s="14" t="n">
        <v>50</v>
      </c>
      <c r="B54" s="15" t="n"/>
      <c r="C54" s="15" t="n"/>
      <c r="D54" s="16" t="n"/>
      <c r="E54" s="17" t="n"/>
      <c r="F54" s="17" t="n"/>
      <c r="G54" s="18">
        <f>IF(E54="","",E54+F54)</f>
        <v/>
      </c>
      <c r="H54" s="17" t="n"/>
      <c r="I54" s="17" t="n"/>
      <c r="J54" s="18">
        <f>IF(H54="","",H54+I54)</f>
        <v/>
      </c>
      <c r="K54" s="17" t="n"/>
      <c r="L54" s="17" t="n"/>
      <c r="M54" s="18">
        <f>IF(K54="","",K54+L54)</f>
        <v/>
      </c>
      <c r="N54" s="16" t="n"/>
      <c r="O54" s="18">
        <f>IF(COUNT(G54,J54,M54)=0,"",MIN(G54,J54,M54))</f>
        <v/>
      </c>
      <c r="P54" s="14">
        <f>IF(O54="","",IF(O54=G54,"스페셜오퍼",IF(O54=J54,"도매매","도매꾹")))</f>
        <v/>
      </c>
      <c r="Q54" s="18">
        <f>IF(COUNT(G54,J54,M54)&lt;2,"",MAX(G54,J54,M54)-MIN(G54,J54,M54))</f>
        <v/>
      </c>
      <c r="R54" s="17" t="n"/>
      <c r="S54" s="17" t="n"/>
      <c r="T54" s="18">
        <f>IF(COUNT(R54,S54)=0,"",MIN(R54,S54))</f>
        <v/>
      </c>
      <c r="U54" s="19">
        <f>IF(OR(O54="",T54=""),"",O54/T54)</f>
        <v/>
      </c>
      <c r="V54" s="18">
        <f>IF(T54="","",ROUNDDOWN(T54*(1-설정!$B$3),-2))</f>
        <v/>
      </c>
      <c r="W54" s="17" t="n"/>
      <c r="X54" s="18">
        <f>IF(W54&lt;&gt;"",W54,V54)</f>
        <v/>
      </c>
      <c r="Y54" s="18">
        <f>IF(X54="","",X54*설정!$B$4)</f>
        <v/>
      </c>
      <c r="Z54" s="18">
        <f>IF(OR(X54="",O54=""),"",X54-Y54-O54-설정!$B$7)</f>
        <v/>
      </c>
      <c r="AA54" s="19">
        <f>IF(OR(Z54="",X54=0),"",Z54/X54)</f>
        <v/>
      </c>
      <c r="AB54" s="18">
        <f>IF(OR(T54="",O54=""),"",(T54+설정!$B$10)*(1-설정!$B$5)-O54)</f>
        <v/>
      </c>
      <c r="AC54" s="18">
        <f>IF(OR(T54="",O54=""),"",(T54+설정!$B$10)*(1-설정!$B$6)-O54)</f>
        <v/>
      </c>
      <c r="AD54" s="14">
        <f>IF(B54="","",IF(OR(O54="",T54=""),"가격 입력 필요",IF(Z54&lt;=0,"❌ 제외",IF(AND(P54="도매꾹",N54&gt;1),"⚠️ 최소수량 확인",IF(AND(AA54&gt;=설정!$B$8,Z54&gt;=설정!$B$9),"✅ 판매추천",IF(Z54&gt;0,"⚠️ 마진부족","❌ 제외"))))))</f>
        <v/>
      </c>
      <c r="AE54" s="15" t="n"/>
    </row>
    <row r="55">
      <c r="A55" s="14" t="n">
        <v>51</v>
      </c>
      <c r="B55" s="15" t="n"/>
      <c r="C55" s="15" t="n"/>
      <c r="D55" s="16" t="n"/>
      <c r="E55" s="17" t="n"/>
      <c r="F55" s="17" t="n"/>
      <c r="G55" s="18">
        <f>IF(E55="","",E55+F55)</f>
        <v/>
      </c>
      <c r="H55" s="17" t="n"/>
      <c r="I55" s="17" t="n"/>
      <c r="J55" s="18">
        <f>IF(H55="","",H55+I55)</f>
        <v/>
      </c>
      <c r="K55" s="17" t="n"/>
      <c r="L55" s="17" t="n"/>
      <c r="M55" s="18">
        <f>IF(K55="","",K55+L55)</f>
        <v/>
      </c>
      <c r="N55" s="16" t="n"/>
      <c r="O55" s="18">
        <f>IF(COUNT(G55,J55,M55)=0,"",MIN(G55,J55,M55))</f>
        <v/>
      </c>
      <c r="P55" s="14">
        <f>IF(O55="","",IF(O55=G55,"스페셜오퍼",IF(O55=J55,"도매매","도매꾹")))</f>
        <v/>
      </c>
      <c r="Q55" s="18">
        <f>IF(COUNT(G55,J55,M55)&lt;2,"",MAX(G55,J55,M55)-MIN(G55,J55,M55))</f>
        <v/>
      </c>
      <c r="R55" s="17" t="n"/>
      <c r="S55" s="17" t="n"/>
      <c r="T55" s="18">
        <f>IF(COUNT(R55,S55)=0,"",MIN(R55,S55))</f>
        <v/>
      </c>
      <c r="U55" s="19">
        <f>IF(OR(O55="",T55=""),"",O55/T55)</f>
        <v/>
      </c>
      <c r="V55" s="18">
        <f>IF(T55="","",ROUNDDOWN(T55*(1-설정!$B$3),-2))</f>
        <v/>
      </c>
      <c r="W55" s="17" t="n"/>
      <c r="X55" s="18">
        <f>IF(W55&lt;&gt;"",W55,V55)</f>
        <v/>
      </c>
      <c r="Y55" s="18">
        <f>IF(X55="","",X55*설정!$B$4)</f>
        <v/>
      </c>
      <c r="Z55" s="18">
        <f>IF(OR(X55="",O55=""),"",X55-Y55-O55-설정!$B$7)</f>
        <v/>
      </c>
      <c r="AA55" s="19">
        <f>IF(OR(Z55="",X55=0),"",Z55/X55)</f>
        <v/>
      </c>
      <c r="AB55" s="18">
        <f>IF(OR(T55="",O55=""),"",(T55+설정!$B$10)*(1-설정!$B$5)-O55)</f>
        <v/>
      </c>
      <c r="AC55" s="18">
        <f>IF(OR(T55="",O55=""),"",(T55+설정!$B$10)*(1-설정!$B$6)-O55)</f>
        <v/>
      </c>
      <c r="AD55" s="14">
        <f>IF(B55="","",IF(OR(O55="",T55=""),"가격 입력 필요",IF(Z55&lt;=0,"❌ 제외",IF(AND(P55="도매꾹",N55&gt;1),"⚠️ 최소수량 확인",IF(AND(AA55&gt;=설정!$B$8,Z55&gt;=설정!$B$9),"✅ 판매추천",IF(Z55&gt;0,"⚠️ 마진부족","❌ 제외"))))))</f>
        <v/>
      </c>
      <c r="AE55" s="15" t="n"/>
    </row>
    <row r="56">
      <c r="A56" s="14" t="n">
        <v>52</v>
      </c>
      <c r="B56" s="15" t="n"/>
      <c r="C56" s="15" t="n"/>
      <c r="D56" s="16" t="n"/>
      <c r="E56" s="17" t="n"/>
      <c r="F56" s="17" t="n"/>
      <c r="G56" s="18">
        <f>IF(E56="","",E56+F56)</f>
        <v/>
      </c>
      <c r="H56" s="17" t="n"/>
      <c r="I56" s="17" t="n"/>
      <c r="J56" s="18">
        <f>IF(H56="","",H56+I56)</f>
        <v/>
      </c>
      <c r="K56" s="17" t="n"/>
      <c r="L56" s="17" t="n"/>
      <c r="M56" s="18">
        <f>IF(K56="","",K56+L56)</f>
        <v/>
      </c>
      <c r="N56" s="16" t="n"/>
      <c r="O56" s="18">
        <f>IF(COUNT(G56,J56,M56)=0,"",MIN(G56,J56,M56))</f>
        <v/>
      </c>
      <c r="P56" s="14">
        <f>IF(O56="","",IF(O56=G56,"스페셜오퍼",IF(O56=J56,"도매매","도매꾹")))</f>
        <v/>
      </c>
      <c r="Q56" s="18">
        <f>IF(COUNT(G56,J56,M56)&lt;2,"",MAX(G56,J56,M56)-MIN(G56,J56,M56))</f>
        <v/>
      </c>
      <c r="R56" s="17" t="n"/>
      <c r="S56" s="17" t="n"/>
      <c r="T56" s="18">
        <f>IF(COUNT(R56,S56)=0,"",MIN(R56,S56))</f>
        <v/>
      </c>
      <c r="U56" s="19">
        <f>IF(OR(O56="",T56=""),"",O56/T56)</f>
        <v/>
      </c>
      <c r="V56" s="18">
        <f>IF(T56="","",ROUNDDOWN(T56*(1-설정!$B$3),-2))</f>
        <v/>
      </c>
      <c r="W56" s="17" t="n"/>
      <c r="X56" s="18">
        <f>IF(W56&lt;&gt;"",W56,V56)</f>
        <v/>
      </c>
      <c r="Y56" s="18">
        <f>IF(X56="","",X56*설정!$B$4)</f>
        <v/>
      </c>
      <c r="Z56" s="18">
        <f>IF(OR(X56="",O56=""),"",X56-Y56-O56-설정!$B$7)</f>
        <v/>
      </c>
      <c r="AA56" s="19">
        <f>IF(OR(Z56="",X56=0),"",Z56/X56)</f>
        <v/>
      </c>
      <c r="AB56" s="18">
        <f>IF(OR(T56="",O56=""),"",(T56+설정!$B$10)*(1-설정!$B$5)-O56)</f>
        <v/>
      </c>
      <c r="AC56" s="18">
        <f>IF(OR(T56="",O56=""),"",(T56+설정!$B$10)*(1-설정!$B$6)-O56)</f>
        <v/>
      </c>
      <c r="AD56" s="14">
        <f>IF(B56="","",IF(OR(O56="",T56=""),"가격 입력 필요",IF(Z56&lt;=0,"❌ 제외",IF(AND(P56="도매꾹",N56&gt;1),"⚠️ 최소수량 확인",IF(AND(AA56&gt;=설정!$B$8,Z56&gt;=설정!$B$9),"✅ 판매추천",IF(Z56&gt;0,"⚠️ 마진부족","❌ 제외"))))))</f>
        <v/>
      </c>
      <c r="AE56" s="15" t="n"/>
    </row>
    <row r="57">
      <c r="A57" s="14" t="n">
        <v>53</v>
      </c>
      <c r="B57" s="15" t="n"/>
      <c r="C57" s="15" t="n"/>
      <c r="D57" s="16" t="n"/>
      <c r="E57" s="17" t="n"/>
      <c r="F57" s="17" t="n"/>
      <c r="G57" s="18">
        <f>IF(E57="","",E57+F57)</f>
        <v/>
      </c>
      <c r="H57" s="17" t="n"/>
      <c r="I57" s="17" t="n"/>
      <c r="J57" s="18">
        <f>IF(H57="","",H57+I57)</f>
        <v/>
      </c>
      <c r="K57" s="17" t="n"/>
      <c r="L57" s="17" t="n"/>
      <c r="M57" s="18">
        <f>IF(K57="","",K57+L57)</f>
        <v/>
      </c>
      <c r="N57" s="16" t="n"/>
      <c r="O57" s="18">
        <f>IF(COUNT(G57,J57,M57)=0,"",MIN(G57,J57,M57))</f>
        <v/>
      </c>
      <c r="P57" s="14">
        <f>IF(O57="","",IF(O57=G57,"스페셜오퍼",IF(O57=J57,"도매매","도매꾹")))</f>
        <v/>
      </c>
      <c r="Q57" s="18">
        <f>IF(COUNT(G57,J57,M57)&lt;2,"",MAX(G57,J57,M57)-MIN(G57,J57,M57))</f>
        <v/>
      </c>
      <c r="R57" s="17" t="n"/>
      <c r="S57" s="17" t="n"/>
      <c r="T57" s="18">
        <f>IF(COUNT(R57,S57)=0,"",MIN(R57,S57))</f>
        <v/>
      </c>
      <c r="U57" s="19">
        <f>IF(OR(O57="",T57=""),"",O57/T57)</f>
        <v/>
      </c>
      <c r="V57" s="18">
        <f>IF(T57="","",ROUNDDOWN(T57*(1-설정!$B$3),-2))</f>
        <v/>
      </c>
      <c r="W57" s="17" t="n"/>
      <c r="X57" s="18">
        <f>IF(W57&lt;&gt;"",W57,V57)</f>
        <v/>
      </c>
      <c r="Y57" s="18">
        <f>IF(X57="","",X57*설정!$B$4)</f>
        <v/>
      </c>
      <c r="Z57" s="18">
        <f>IF(OR(X57="",O57=""),"",X57-Y57-O57-설정!$B$7)</f>
        <v/>
      </c>
      <c r="AA57" s="19">
        <f>IF(OR(Z57="",X57=0),"",Z57/X57)</f>
        <v/>
      </c>
      <c r="AB57" s="18">
        <f>IF(OR(T57="",O57=""),"",(T57+설정!$B$10)*(1-설정!$B$5)-O57)</f>
        <v/>
      </c>
      <c r="AC57" s="18">
        <f>IF(OR(T57="",O57=""),"",(T57+설정!$B$10)*(1-설정!$B$6)-O57)</f>
        <v/>
      </c>
      <c r="AD57" s="14">
        <f>IF(B57="","",IF(OR(O57="",T57=""),"가격 입력 필요",IF(Z57&lt;=0,"❌ 제외",IF(AND(P57="도매꾹",N57&gt;1),"⚠️ 최소수량 확인",IF(AND(AA57&gt;=설정!$B$8,Z57&gt;=설정!$B$9),"✅ 판매추천",IF(Z57&gt;0,"⚠️ 마진부족","❌ 제외"))))))</f>
        <v/>
      </c>
      <c r="AE57" s="15" t="n"/>
    </row>
    <row r="58">
      <c r="A58" s="14" t="n">
        <v>54</v>
      </c>
      <c r="B58" s="15" t="n"/>
      <c r="C58" s="15" t="n"/>
      <c r="D58" s="16" t="n"/>
      <c r="E58" s="17" t="n"/>
      <c r="F58" s="17" t="n"/>
      <c r="G58" s="18">
        <f>IF(E58="","",E58+F58)</f>
        <v/>
      </c>
      <c r="H58" s="17" t="n"/>
      <c r="I58" s="17" t="n"/>
      <c r="J58" s="18">
        <f>IF(H58="","",H58+I58)</f>
        <v/>
      </c>
      <c r="K58" s="17" t="n"/>
      <c r="L58" s="17" t="n"/>
      <c r="M58" s="18">
        <f>IF(K58="","",K58+L58)</f>
        <v/>
      </c>
      <c r="N58" s="16" t="n"/>
      <c r="O58" s="18">
        <f>IF(COUNT(G58,J58,M58)=0,"",MIN(G58,J58,M58))</f>
        <v/>
      </c>
      <c r="P58" s="14">
        <f>IF(O58="","",IF(O58=G58,"스페셜오퍼",IF(O58=J58,"도매매","도매꾹")))</f>
        <v/>
      </c>
      <c r="Q58" s="18">
        <f>IF(COUNT(G58,J58,M58)&lt;2,"",MAX(G58,J58,M58)-MIN(G58,J58,M58))</f>
        <v/>
      </c>
      <c r="R58" s="17" t="n"/>
      <c r="S58" s="17" t="n"/>
      <c r="T58" s="18">
        <f>IF(COUNT(R58,S58)=0,"",MIN(R58,S58))</f>
        <v/>
      </c>
      <c r="U58" s="19">
        <f>IF(OR(O58="",T58=""),"",O58/T58)</f>
        <v/>
      </c>
      <c r="V58" s="18">
        <f>IF(T58="","",ROUNDDOWN(T58*(1-설정!$B$3),-2))</f>
        <v/>
      </c>
      <c r="W58" s="17" t="n"/>
      <c r="X58" s="18">
        <f>IF(W58&lt;&gt;"",W58,V58)</f>
        <v/>
      </c>
      <c r="Y58" s="18">
        <f>IF(X58="","",X58*설정!$B$4)</f>
        <v/>
      </c>
      <c r="Z58" s="18">
        <f>IF(OR(X58="",O58=""),"",X58-Y58-O58-설정!$B$7)</f>
        <v/>
      </c>
      <c r="AA58" s="19">
        <f>IF(OR(Z58="",X58=0),"",Z58/X58)</f>
        <v/>
      </c>
      <c r="AB58" s="18">
        <f>IF(OR(T58="",O58=""),"",(T58+설정!$B$10)*(1-설정!$B$5)-O58)</f>
        <v/>
      </c>
      <c r="AC58" s="18">
        <f>IF(OR(T58="",O58=""),"",(T58+설정!$B$10)*(1-설정!$B$6)-O58)</f>
        <v/>
      </c>
      <c r="AD58" s="14">
        <f>IF(B58="","",IF(OR(O58="",T58=""),"가격 입력 필요",IF(Z58&lt;=0,"❌ 제외",IF(AND(P58="도매꾹",N58&gt;1),"⚠️ 최소수량 확인",IF(AND(AA58&gt;=설정!$B$8,Z58&gt;=설정!$B$9),"✅ 판매추천",IF(Z58&gt;0,"⚠️ 마진부족","❌ 제외"))))))</f>
        <v/>
      </c>
      <c r="AE58" s="15" t="n"/>
    </row>
    <row r="59">
      <c r="A59" s="14" t="n">
        <v>55</v>
      </c>
      <c r="B59" s="15" t="n"/>
      <c r="C59" s="15" t="n"/>
      <c r="D59" s="16" t="n"/>
      <c r="E59" s="17" t="n"/>
      <c r="F59" s="17" t="n"/>
      <c r="G59" s="18">
        <f>IF(E59="","",E59+F59)</f>
        <v/>
      </c>
      <c r="H59" s="17" t="n"/>
      <c r="I59" s="17" t="n"/>
      <c r="J59" s="18">
        <f>IF(H59="","",H59+I59)</f>
        <v/>
      </c>
      <c r="K59" s="17" t="n"/>
      <c r="L59" s="17" t="n"/>
      <c r="M59" s="18">
        <f>IF(K59="","",K59+L59)</f>
        <v/>
      </c>
      <c r="N59" s="16" t="n"/>
      <c r="O59" s="18">
        <f>IF(COUNT(G59,J59,M59)=0,"",MIN(G59,J59,M59))</f>
        <v/>
      </c>
      <c r="P59" s="14">
        <f>IF(O59="","",IF(O59=G59,"스페셜오퍼",IF(O59=J59,"도매매","도매꾹")))</f>
        <v/>
      </c>
      <c r="Q59" s="18">
        <f>IF(COUNT(G59,J59,M59)&lt;2,"",MAX(G59,J59,M59)-MIN(G59,J59,M59))</f>
        <v/>
      </c>
      <c r="R59" s="17" t="n"/>
      <c r="S59" s="17" t="n"/>
      <c r="T59" s="18">
        <f>IF(COUNT(R59,S59)=0,"",MIN(R59,S59))</f>
        <v/>
      </c>
      <c r="U59" s="19">
        <f>IF(OR(O59="",T59=""),"",O59/T59)</f>
        <v/>
      </c>
      <c r="V59" s="18">
        <f>IF(T59="","",ROUNDDOWN(T59*(1-설정!$B$3),-2))</f>
        <v/>
      </c>
      <c r="W59" s="17" t="n"/>
      <c r="X59" s="18">
        <f>IF(W59&lt;&gt;"",W59,V59)</f>
        <v/>
      </c>
      <c r="Y59" s="18">
        <f>IF(X59="","",X59*설정!$B$4)</f>
        <v/>
      </c>
      <c r="Z59" s="18">
        <f>IF(OR(X59="",O59=""),"",X59-Y59-O59-설정!$B$7)</f>
        <v/>
      </c>
      <c r="AA59" s="19">
        <f>IF(OR(Z59="",X59=0),"",Z59/X59)</f>
        <v/>
      </c>
      <c r="AB59" s="18">
        <f>IF(OR(T59="",O59=""),"",(T59+설정!$B$10)*(1-설정!$B$5)-O59)</f>
        <v/>
      </c>
      <c r="AC59" s="18">
        <f>IF(OR(T59="",O59=""),"",(T59+설정!$B$10)*(1-설정!$B$6)-O59)</f>
        <v/>
      </c>
      <c r="AD59" s="14">
        <f>IF(B59="","",IF(OR(O59="",T59=""),"가격 입력 필요",IF(Z59&lt;=0,"❌ 제외",IF(AND(P59="도매꾹",N59&gt;1),"⚠️ 최소수량 확인",IF(AND(AA59&gt;=설정!$B$8,Z59&gt;=설정!$B$9),"✅ 판매추천",IF(Z59&gt;0,"⚠️ 마진부족","❌ 제외"))))))</f>
        <v/>
      </c>
      <c r="AE59" s="15" t="n"/>
    </row>
    <row r="60">
      <c r="A60" s="14" t="n">
        <v>56</v>
      </c>
      <c r="B60" s="15" t="n"/>
      <c r="C60" s="15" t="n"/>
      <c r="D60" s="16" t="n"/>
      <c r="E60" s="17" t="n"/>
      <c r="F60" s="17" t="n"/>
      <c r="G60" s="18">
        <f>IF(E60="","",E60+F60)</f>
        <v/>
      </c>
      <c r="H60" s="17" t="n"/>
      <c r="I60" s="17" t="n"/>
      <c r="J60" s="18">
        <f>IF(H60="","",H60+I60)</f>
        <v/>
      </c>
      <c r="K60" s="17" t="n"/>
      <c r="L60" s="17" t="n"/>
      <c r="M60" s="18">
        <f>IF(K60="","",K60+L60)</f>
        <v/>
      </c>
      <c r="N60" s="16" t="n"/>
      <c r="O60" s="18">
        <f>IF(COUNT(G60,J60,M60)=0,"",MIN(G60,J60,M60))</f>
        <v/>
      </c>
      <c r="P60" s="14">
        <f>IF(O60="","",IF(O60=G60,"스페셜오퍼",IF(O60=J60,"도매매","도매꾹")))</f>
        <v/>
      </c>
      <c r="Q60" s="18">
        <f>IF(COUNT(G60,J60,M60)&lt;2,"",MAX(G60,J60,M60)-MIN(G60,J60,M60))</f>
        <v/>
      </c>
      <c r="R60" s="17" t="n"/>
      <c r="S60" s="17" t="n"/>
      <c r="T60" s="18">
        <f>IF(COUNT(R60,S60)=0,"",MIN(R60,S60))</f>
        <v/>
      </c>
      <c r="U60" s="19">
        <f>IF(OR(O60="",T60=""),"",O60/T60)</f>
        <v/>
      </c>
      <c r="V60" s="18">
        <f>IF(T60="","",ROUNDDOWN(T60*(1-설정!$B$3),-2))</f>
        <v/>
      </c>
      <c r="W60" s="17" t="n"/>
      <c r="X60" s="18">
        <f>IF(W60&lt;&gt;"",W60,V60)</f>
        <v/>
      </c>
      <c r="Y60" s="18">
        <f>IF(X60="","",X60*설정!$B$4)</f>
        <v/>
      </c>
      <c r="Z60" s="18">
        <f>IF(OR(X60="",O60=""),"",X60-Y60-O60-설정!$B$7)</f>
        <v/>
      </c>
      <c r="AA60" s="19">
        <f>IF(OR(Z60="",X60=0),"",Z60/X60)</f>
        <v/>
      </c>
      <c r="AB60" s="18">
        <f>IF(OR(T60="",O60=""),"",(T60+설정!$B$10)*(1-설정!$B$5)-O60)</f>
        <v/>
      </c>
      <c r="AC60" s="18">
        <f>IF(OR(T60="",O60=""),"",(T60+설정!$B$10)*(1-설정!$B$6)-O60)</f>
        <v/>
      </c>
      <c r="AD60" s="14">
        <f>IF(B60="","",IF(OR(O60="",T60=""),"가격 입력 필요",IF(Z60&lt;=0,"❌ 제외",IF(AND(P60="도매꾹",N60&gt;1),"⚠️ 최소수량 확인",IF(AND(AA60&gt;=설정!$B$8,Z60&gt;=설정!$B$9),"✅ 판매추천",IF(Z60&gt;0,"⚠️ 마진부족","❌ 제외"))))))</f>
        <v/>
      </c>
      <c r="AE60" s="15" t="n"/>
    </row>
    <row r="61">
      <c r="A61" s="14" t="n">
        <v>57</v>
      </c>
      <c r="B61" s="15" t="n"/>
      <c r="C61" s="15" t="n"/>
      <c r="D61" s="16" t="n"/>
      <c r="E61" s="17" t="n"/>
      <c r="F61" s="17" t="n"/>
      <c r="G61" s="18">
        <f>IF(E61="","",E61+F61)</f>
        <v/>
      </c>
      <c r="H61" s="17" t="n"/>
      <c r="I61" s="17" t="n"/>
      <c r="J61" s="18">
        <f>IF(H61="","",H61+I61)</f>
        <v/>
      </c>
      <c r="K61" s="17" t="n"/>
      <c r="L61" s="17" t="n"/>
      <c r="M61" s="18">
        <f>IF(K61="","",K61+L61)</f>
        <v/>
      </c>
      <c r="N61" s="16" t="n"/>
      <c r="O61" s="18">
        <f>IF(COUNT(G61,J61,M61)=0,"",MIN(G61,J61,M61))</f>
        <v/>
      </c>
      <c r="P61" s="14">
        <f>IF(O61="","",IF(O61=G61,"스페셜오퍼",IF(O61=J61,"도매매","도매꾹")))</f>
        <v/>
      </c>
      <c r="Q61" s="18">
        <f>IF(COUNT(G61,J61,M61)&lt;2,"",MAX(G61,J61,M61)-MIN(G61,J61,M61))</f>
        <v/>
      </c>
      <c r="R61" s="17" t="n"/>
      <c r="S61" s="17" t="n"/>
      <c r="T61" s="18">
        <f>IF(COUNT(R61,S61)=0,"",MIN(R61,S61))</f>
        <v/>
      </c>
      <c r="U61" s="19">
        <f>IF(OR(O61="",T61=""),"",O61/T61)</f>
        <v/>
      </c>
      <c r="V61" s="18">
        <f>IF(T61="","",ROUNDDOWN(T61*(1-설정!$B$3),-2))</f>
        <v/>
      </c>
      <c r="W61" s="17" t="n"/>
      <c r="X61" s="18">
        <f>IF(W61&lt;&gt;"",W61,V61)</f>
        <v/>
      </c>
      <c r="Y61" s="18">
        <f>IF(X61="","",X61*설정!$B$4)</f>
        <v/>
      </c>
      <c r="Z61" s="18">
        <f>IF(OR(X61="",O61=""),"",X61-Y61-O61-설정!$B$7)</f>
        <v/>
      </c>
      <c r="AA61" s="19">
        <f>IF(OR(Z61="",X61=0),"",Z61/X61)</f>
        <v/>
      </c>
      <c r="AB61" s="18">
        <f>IF(OR(T61="",O61=""),"",(T61+설정!$B$10)*(1-설정!$B$5)-O61)</f>
        <v/>
      </c>
      <c r="AC61" s="18">
        <f>IF(OR(T61="",O61=""),"",(T61+설정!$B$10)*(1-설정!$B$6)-O61)</f>
        <v/>
      </c>
      <c r="AD61" s="14">
        <f>IF(B61="","",IF(OR(O61="",T61=""),"가격 입력 필요",IF(Z61&lt;=0,"❌ 제외",IF(AND(P61="도매꾹",N61&gt;1),"⚠️ 최소수량 확인",IF(AND(AA61&gt;=설정!$B$8,Z61&gt;=설정!$B$9),"✅ 판매추천",IF(Z61&gt;0,"⚠️ 마진부족","❌ 제외"))))))</f>
        <v/>
      </c>
      <c r="AE61" s="15" t="n"/>
    </row>
    <row r="62">
      <c r="A62" s="14" t="n">
        <v>58</v>
      </c>
      <c r="B62" s="15" t="n"/>
      <c r="C62" s="15" t="n"/>
      <c r="D62" s="16" t="n"/>
      <c r="E62" s="17" t="n"/>
      <c r="F62" s="17" t="n"/>
      <c r="G62" s="18">
        <f>IF(E62="","",E62+F62)</f>
        <v/>
      </c>
      <c r="H62" s="17" t="n"/>
      <c r="I62" s="17" t="n"/>
      <c r="J62" s="18">
        <f>IF(H62="","",H62+I62)</f>
        <v/>
      </c>
      <c r="K62" s="17" t="n"/>
      <c r="L62" s="17" t="n"/>
      <c r="M62" s="18">
        <f>IF(K62="","",K62+L62)</f>
        <v/>
      </c>
      <c r="N62" s="16" t="n"/>
      <c r="O62" s="18">
        <f>IF(COUNT(G62,J62,M62)=0,"",MIN(G62,J62,M62))</f>
        <v/>
      </c>
      <c r="P62" s="14">
        <f>IF(O62="","",IF(O62=G62,"스페셜오퍼",IF(O62=J62,"도매매","도매꾹")))</f>
        <v/>
      </c>
      <c r="Q62" s="18">
        <f>IF(COUNT(G62,J62,M62)&lt;2,"",MAX(G62,J62,M62)-MIN(G62,J62,M62))</f>
        <v/>
      </c>
      <c r="R62" s="17" t="n"/>
      <c r="S62" s="17" t="n"/>
      <c r="T62" s="18">
        <f>IF(COUNT(R62,S62)=0,"",MIN(R62,S62))</f>
        <v/>
      </c>
      <c r="U62" s="19">
        <f>IF(OR(O62="",T62=""),"",O62/T62)</f>
        <v/>
      </c>
      <c r="V62" s="18">
        <f>IF(T62="","",ROUNDDOWN(T62*(1-설정!$B$3),-2))</f>
        <v/>
      </c>
      <c r="W62" s="17" t="n"/>
      <c r="X62" s="18">
        <f>IF(W62&lt;&gt;"",W62,V62)</f>
        <v/>
      </c>
      <c r="Y62" s="18">
        <f>IF(X62="","",X62*설정!$B$4)</f>
        <v/>
      </c>
      <c r="Z62" s="18">
        <f>IF(OR(X62="",O62=""),"",X62-Y62-O62-설정!$B$7)</f>
        <v/>
      </c>
      <c r="AA62" s="19">
        <f>IF(OR(Z62="",X62=0),"",Z62/X62)</f>
        <v/>
      </c>
      <c r="AB62" s="18">
        <f>IF(OR(T62="",O62=""),"",(T62+설정!$B$10)*(1-설정!$B$5)-O62)</f>
        <v/>
      </c>
      <c r="AC62" s="18">
        <f>IF(OR(T62="",O62=""),"",(T62+설정!$B$10)*(1-설정!$B$6)-O62)</f>
        <v/>
      </c>
      <c r="AD62" s="14">
        <f>IF(B62="","",IF(OR(O62="",T62=""),"가격 입력 필요",IF(Z62&lt;=0,"❌ 제외",IF(AND(P62="도매꾹",N62&gt;1),"⚠️ 최소수량 확인",IF(AND(AA62&gt;=설정!$B$8,Z62&gt;=설정!$B$9),"✅ 판매추천",IF(Z62&gt;0,"⚠️ 마진부족","❌ 제외"))))))</f>
        <v/>
      </c>
      <c r="AE62" s="15" t="n"/>
    </row>
    <row r="63">
      <c r="A63" s="14" t="n">
        <v>59</v>
      </c>
      <c r="B63" s="15" t="n"/>
      <c r="C63" s="15" t="n"/>
      <c r="D63" s="16" t="n"/>
      <c r="E63" s="17" t="n"/>
      <c r="F63" s="17" t="n"/>
      <c r="G63" s="18">
        <f>IF(E63="","",E63+F63)</f>
        <v/>
      </c>
      <c r="H63" s="17" t="n"/>
      <c r="I63" s="17" t="n"/>
      <c r="J63" s="18">
        <f>IF(H63="","",H63+I63)</f>
        <v/>
      </c>
      <c r="K63" s="17" t="n"/>
      <c r="L63" s="17" t="n"/>
      <c r="M63" s="18">
        <f>IF(K63="","",K63+L63)</f>
        <v/>
      </c>
      <c r="N63" s="16" t="n"/>
      <c r="O63" s="18">
        <f>IF(COUNT(G63,J63,M63)=0,"",MIN(G63,J63,M63))</f>
        <v/>
      </c>
      <c r="P63" s="14">
        <f>IF(O63="","",IF(O63=G63,"스페셜오퍼",IF(O63=J63,"도매매","도매꾹")))</f>
        <v/>
      </c>
      <c r="Q63" s="18">
        <f>IF(COUNT(G63,J63,M63)&lt;2,"",MAX(G63,J63,M63)-MIN(G63,J63,M63))</f>
        <v/>
      </c>
      <c r="R63" s="17" t="n"/>
      <c r="S63" s="17" t="n"/>
      <c r="T63" s="18">
        <f>IF(COUNT(R63,S63)=0,"",MIN(R63,S63))</f>
        <v/>
      </c>
      <c r="U63" s="19">
        <f>IF(OR(O63="",T63=""),"",O63/T63)</f>
        <v/>
      </c>
      <c r="V63" s="18">
        <f>IF(T63="","",ROUNDDOWN(T63*(1-설정!$B$3),-2))</f>
        <v/>
      </c>
      <c r="W63" s="17" t="n"/>
      <c r="X63" s="18">
        <f>IF(W63&lt;&gt;"",W63,V63)</f>
        <v/>
      </c>
      <c r="Y63" s="18">
        <f>IF(X63="","",X63*설정!$B$4)</f>
        <v/>
      </c>
      <c r="Z63" s="18">
        <f>IF(OR(X63="",O63=""),"",X63-Y63-O63-설정!$B$7)</f>
        <v/>
      </c>
      <c r="AA63" s="19">
        <f>IF(OR(Z63="",X63=0),"",Z63/X63)</f>
        <v/>
      </c>
      <c r="AB63" s="18">
        <f>IF(OR(T63="",O63=""),"",(T63+설정!$B$10)*(1-설정!$B$5)-O63)</f>
        <v/>
      </c>
      <c r="AC63" s="18">
        <f>IF(OR(T63="",O63=""),"",(T63+설정!$B$10)*(1-설정!$B$6)-O63)</f>
        <v/>
      </c>
      <c r="AD63" s="14">
        <f>IF(B63="","",IF(OR(O63="",T63=""),"가격 입력 필요",IF(Z63&lt;=0,"❌ 제외",IF(AND(P63="도매꾹",N63&gt;1),"⚠️ 최소수량 확인",IF(AND(AA63&gt;=설정!$B$8,Z63&gt;=설정!$B$9),"✅ 판매추천",IF(Z63&gt;0,"⚠️ 마진부족","❌ 제외"))))))</f>
        <v/>
      </c>
      <c r="AE63" s="15" t="n"/>
    </row>
    <row r="64">
      <c r="A64" s="14" t="n">
        <v>60</v>
      </c>
      <c r="B64" s="15" t="n"/>
      <c r="C64" s="15" t="n"/>
      <c r="D64" s="16" t="n"/>
      <c r="E64" s="17" t="n"/>
      <c r="F64" s="17" t="n"/>
      <c r="G64" s="18">
        <f>IF(E64="","",E64+F64)</f>
        <v/>
      </c>
      <c r="H64" s="17" t="n"/>
      <c r="I64" s="17" t="n"/>
      <c r="J64" s="18">
        <f>IF(H64="","",H64+I64)</f>
        <v/>
      </c>
      <c r="K64" s="17" t="n"/>
      <c r="L64" s="17" t="n"/>
      <c r="M64" s="18">
        <f>IF(K64="","",K64+L64)</f>
        <v/>
      </c>
      <c r="N64" s="16" t="n"/>
      <c r="O64" s="18">
        <f>IF(COUNT(G64,J64,M64)=0,"",MIN(G64,J64,M64))</f>
        <v/>
      </c>
      <c r="P64" s="14">
        <f>IF(O64="","",IF(O64=G64,"스페셜오퍼",IF(O64=J64,"도매매","도매꾹")))</f>
        <v/>
      </c>
      <c r="Q64" s="18">
        <f>IF(COUNT(G64,J64,M64)&lt;2,"",MAX(G64,J64,M64)-MIN(G64,J64,M64))</f>
        <v/>
      </c>
      <c r="R64" s="17" t="n"/>
      <c r="S64" s="17" t="n"/>
      <c r="T64" s="18">
        <f>IF(COUNT(R64,S64)=0,"",MIN(R64,S64))</f>
        <v/>
      </c>
      <c r="U64" s="19">
        <f>IF(OR(O64="",T64=""),"",O64/T64)</f>
        <v/>
      </c>
      <c r="V64" s="18">
        <f>IF(T64="","",ROUNDDOWN(T64*(1-설정!$B$3),-2))</f>
        <v/>
      </c>
      <c r="W64" s="17" t="n"/>
      <c r="X64" s="18">
        <f>IF(W64&lt;&gt;"",W64,V64)</f>
        <v/>
      </c>
      <c r="Y64" s="18">
        <f>IF(X64="","",X64*설정!$B$4)</f>
        <v/>
      </c>
      <c r="Z64" s="18">
        <f>IF(OR(X64="",O64=""),"",X64-Y64-O64-설정!$B$7)</f>
        <v/>
      </c>
      <c r="AA64" s="19">
        <f>IF(OR(Z64="",X64=0),"",Z64/X64)</f>
        <v/>
      </c>
      <c r="AB64" s="18">
        <f>IF(OR(T64="",O64=""),"",(T64+설정!$B$10)*(1-설정!$B$5)-O64)</f>
        <v/>
      </c>
      <c r="AC64" s="18">
        <f>IF(OR(T64="",O64=""),"",(T64+설정!$B$10)*(1-설정!$B$6)-O64)</f>
        <v/>
      </c>
      <c r="AD64" s="14">
        <f>IF(B64="","",IF(OR(O64="",T64=""),"가격 입력 필요",IF(Z64&lt;=0,"❌ 제외",IF(AND(P64="도매꾹",N64&gt;1),"⚠️ 최소수량 확인",IF(AND(AA64&gt;=설정!$B$8,Z64&gt;=설정!$B$9),"✅ 판매추천",IF(Z64&gt;0,"⚠️ 마진부족","❌ 제외"))))))</f>
        <v/>
      </c>
      <c r="AE64" s="15" t="n"/>
    </row>
    <row r="65">
      <c r="A65" s="14" t="n">
        <v>61</v>
      </c>
      <c r="B65" s="15" t="n"/>
      <c r="C65" s="15" t="n"/>
      <c r="D65" s="16" t="n"/>
      <c r="E65" s="17" t="n"/>
      <c r="F65" s="17" t="n"/>
      <c r="G65" s="18">
        <f>IF(E65="","",E65+F65)</f>
        <v/>
      </c>
      <c r="H65" s="17" t="n"/>
      <c r="I65" s="17" t="n"/>
      <c r="J65" s="18">
        <f>IF(H65="","",H65+I65)</f>
        <v/>
      </c>
      <c r="K65" s="17" t="n"/>
      <c r="L65" s="17" t="n"/>
      <c r="M65" s="18">
        <f>IF(K65="","",K65+L65)</f>
        <v/>
      </c>
      <c r="N65" s="16" t="n"/>
      <c r="O65" s="18">
        <f>IF(COUNT(G65,J65,M65)=0,"",MIN(G65,J65,M65))</f>
        <v/>
      </c>
      <c r="P65" s="14">
        <f>IF(O65="","",IF(O65=G65,"스페셜오퍼",IF(O65=J65,"도매매","도매꾹")))</f>
        <v/>
      </c>
      <c r="Q65" s="18">
        <f>IF(COUNT(G65,J65,M65)&lt;2,"",MAX(G65,J65,M65)-MIN(G65,J65,M65))</f>
        <v/>
      </c>
      <c r="R65" s="17" t="n"/>
      <c r="S65" s="17" t="n"/>
      <c r="T65" s="18">
        <f>IF(COUNT(R65,S65)=0,"",MIN(R65,S65))</f>
        <v/>
      </c>
      <c r="U65" s="19">
        <f>IF(OR(O65="",T65=""),"",O65/T65)</f>
        <v/>
      </c>
      <c r="V65" s="18">
        <f>IF(T65="","",ROUNDDOWN(T65*(1-설정!$B$3),-2))</f>
        <v/>
      </c>
      <c r="W65" s="17" t="n"/>
      <c r="X65" s="18">
        <f>IF(W65&lt;&gt;"",W65,V65)</f>
        <v/>
      </c>
      <c r="Y65" s="18">
        <f>IF(X65="","",X65*설정!$B$4)</f>
        <v/>
      </c>
      <c r="Z65" s="18">
        <f>IF(OR(X65="",O65=""),"",X65-Y65-O65-설정!$B$7)</f>
        <v/>
      </c>
      <c r="AA65" s="19">
        <f>IF(OR(Z65="",X65=0),"",Z65/X65)</f>
        <v/>
      </c>
      <c r="AB65" s="18">
        <f>IF(OR(T65="",O65=""),"",(T65+설정!$B$10)*(1-설정!$B$5)-O65)</f>
        <v/>
      </c>
      <c r="AC65" s="18">
        <f>IF(OR(T65="",O65=""),"",(T65+설정!$B$10)*(1-설정!$B$6)-O65)</f>
        <v/>
      </c>
      <c r="AD65" s="14">
        <f>IF(B65="","",IF(OR(O65="",T65=""),"가격 입력 필요",IF(Z65&lt;=0,"❌ 제외",IF(AND(P65="도매꾹",N65&gt;1),"⚠️ 최소수량 확인",IF(AND(AA65&gt;=설정!$B$8,Z65&gt;=설정!$B$9),"✅ 판매추천",IF(Z65&gt;0,"⚠️ 마진부족","❌ 제외"))))))</f>
        <v/>
      </c>
      <c r="AE65" s="15" t="n"/>
    </row>
    <row r="66">
      <c r="A66" s="14" t="n">
        <v>62</v>
      </c>
      <c r="B66" s="15" t="n"/>
      <c r="C66" s="15" t="n"/>
      <c r="D66" s="16" t="n"/>
      <c r="E66" s="17" t="n"/>
      <c r="F66" s="17" t="n"/>
      <c r="G66" s="18">
        <f>IF(E66="","",E66+F66)</f>
        <v/>
      </c>
      <c r="H66" s="17" t="n"/>
      <c r="I66" s="17" t="n"/>
      <c r="J66" s="18">
        <f>IF(H66="","",H66+I66)</f>
        <v/>
      </c>
      <c r="K66" s="17" t="n"/>
      <c r="L66" s="17" t="n"/>
      <c r="M66" s="18">
        <f>IF(K66="","",K66+L66)</f>
        <v/>
      </c>
      <c r="N66" s="16" t="n"/>
      <c r="O66" s="18">
        <f>IF(COUNT(G66,J66,M66)=0,"",MIN(G66,J66,M66))</f>
        <v/>
      </c>
      <c r="P66" s="14">
        <f>IF(O66="","",IF(O66=G66,"스페셜오퍼",IF(O66=J66,"도매매","도매꾹")))</f>
        <v/>
      </c>
      <c r="Q66" s="18">
        <f>IF(COUNT(G66,J66,M66)&lt;2,"",MAX(G66,J66,M66)-MIN(G66,J66,M66))</f>
        <v/>
      </c>
      <c r="R66" s="17" t="n"/>
      <c r="S66" s="17" t="n"/>
      <c r="T66" s="18">
        <f>IF(COUNT(R66,S66)=0,"",MIN(R66,S66))</f>
        <v/>
      </c>
      <c r="U66" s="19">
        <f>IF(OR(O66="",T66=""),"",O66/T66)</f>
        <v/>
      </c>
      <c r="V66" s="18">
        <f>IF(T66="","",ROUNDDOWN(T66*(1-설정!$B$3),-2))</f>
        <v/>
      </c>
      <c r="W66" s="17" t="n"/>
      <c r="X66" s="18">
        <f>IF(W66&lt;&gt;"",W66,V66)</f>
        <v/>
      </c>
      <c r="Y66" s="18">
        <f>IF(X66="","",X66*설정!$B$4)</f>
        <v/>
      </c>
      <c r="Z66" s="18">
        <f>IF(OR(X66="",O66=""),"",X66-Y66-O66-설정!$B$7)</f>
        <v/>
      </c>
      <c r="AA66" s="19">
        <f>IF(OR(Z66="",X66=0),"",Z66/X66)</f>
        <v/>
      </c>
      <c r="AB66" s="18">
        <f>IF(OR(T66="",O66=""),"",(T66+설정!$B$10)*(1-설정!$B$5)-O66)</f>
        <v/>
      </c>
      <c r="AC66" s="18">
        <f>IF(OR(T66="",O66=""),"",(T66+설정!$B$10)*(1-설정!$B$6)-O66)</f>
        <v/>
      </c>
      <c r="AD66" s="14">
        <f>IF(B66="","",IF(OR(O66="",T66=""),"가격 입력 필요",IF(Z66&lt;=0,"❌ 제외",IF(AND(P66="도매꾹",N66&gt;1),"⚠️ 최소수량 확인",IF(AND(AA66&gt;=설정!$B$8,Z66&gt;=설정!$B$9),"✅ 판매추천",IF(Z66&gt;0,"⚠️ 마진부족","❌ 제외"))))))</f>
        <v/>
      </c>
      <c r="AE66" s="15" t="n"/>
    </row>
    <row r="67">
      <c r="A67" s="14" t="n">
        <v>63</v>
      </c>
      <c r="B67" s="15" t="n"/>
      <c r="C67" s="15" t="n"/>
      <c r="D67" s="16" t="n"/>
      <c r="E67" s="17" t="n"/>
      <c r="F67" s="17" t="n"/>
      <c r="G67" s="18">
        <f>IF(E67="","",E67+F67)</f>
        <v/>
      </c>
      <c r="H67" s="17" t="n"/>
      <c r="I67" s="17" t="n"/>
      <c r="J67" s="18">
        <f>IF(H67="","",H67+I67)</f>
        <v/>
      </c>
      <c r="K67" s="17" t="n"/>
      <c r="L67" s="17" t="n"/>
      <c r="M67" s="18">
        <f>IF(K67="","",K67+L67)</f>
        <v/>
      </c>
      <c r="N67" s="16" t="n"/>
      <c r="O67" s="18">
        <f>IF(COUNT(G67,J67,M67)=0,"",MIN(G67,J67,M67))</f>
        <v/>
      </c>
      <c r="P67" s="14">
        <f>IF(O67="","",IF(O67=G67,"스페셜오퍼",IF(O67=J67,"도매매","도매꾹")))</f>
        <v/>
      </c>
      <c r="Q67" s="18">
        <f>IF(COUNT(G67,J67,M67)&lt;2,"",MAX(G67,J67,M67)-MIN(G67,J67,M67))</f>
        <v/>
      </c>
      <c r="R67" s="17" t="n"/>
      <c r="S67" s="17" t="n"/>
      <c r="T67" s="18">
        <f>IF(COUNT(R67,S67)=0,"",MIN(R67,S67))</f>
        <v/>
      </c>
      <c r="U67" s="19">
        <f>IF(OR(O67="",T67=""),"",O67/T67)</f>
        <v/>
      </c>
      <c r="V67" s="18">
        <f>IF(T67="","",ROUNDDOWN(T67*(1-설정!$B$3),-2))</f>
        <v/>
      </c>
      <c r="W67" s="17" t="n"/>
      <c r="X67" s="18">
        <f>IF(W67&lt;&gt;"",W67,V67)</f>
        <v/>
      </c>
      <c r="Y67" s="18">
        <f>IF(X67="","",X67*설정!$B$4)</f>
        <v/>
      </c>
      <c r="Z67" s="18">
        <f>IF(OR(X67="",O67=""),"",X67-Y67-O67-설정!$B$7)</f>
        <v/>
      </c>
      <c r="AA67" s="19">
        <f>IF(OR(Z67="",X67=0),"",Z67/X67)</f>
        <v/>
      </c>
      <c r="AB67" s="18">
        <f>IF(OR(T67="",O67=""),"",(T67+설정!$B$10)*(1-설정!$B$5)-O67)</f>
        <v/>
      </c>
      <c r="AC67" s="18">
        <f>IF(OR(T67="",O67=""),"",(T67+설정!$B$10)*(1-설정!$B$6)-O67)</f>
        <v/>
      </c>
      <c r="AD67" s="14">
        <f>IF(B67="","",IF(OR(O67="",T67=""),"가격 입력 필요",IF(Z67&lt;=0,"❌ 제외",IF(AND(P67="도매꾹",N67&gt;1),"⚠️ 최소수량 확인",IF(AND(AA67&gt;=설정!$B$8,Z67&gt;=설정!$B$9),"✅ 판매추천",IF(Z67&gt;0,"⚠️ 마진부족","❌ 제외"))))))</f>
        <v/>
      </c>
      <c r="AE67" s="15" t="n"/>
    </row>
    <row r="68">
      <c r="A68" s="14" t="n">
        <v>64</v>
      </c>
      <c r="B68" s="15" t="n"/>
      <c r="C68" s="15" t="n"/>
      <c r="D68" s="16" t="n"/>
      <c r="E68" s="17" t="n"/>
      <c r="F68" s="17" t="n"/>
      <c r="G68" s="18">
        <f>IF(E68="","",E68+F68)</f>
        <v/>
      </c>
      <c r="H68" s="17" t="n"/>
      <c r="I68" s="17" t="n"/>
      <c r="J68" s="18">
        <f>IF(H68="","",H68+I68)</f>
        <v/>
      </c>
      <c r="K68" s="17" t="n"/>
      <c r="L68" s="17" t="n"/>
      <c r="M68" s="18">
        <f>IF(K68="","",K68+L68)</f>
        <v/>
      </c>
      <c r="N68" s="16" t="n"/>
      <c r="O68" s="18">
        <f>IF(COUNT(G68,J68,M68)=0,"",MIN(G68,J68,M68))</f>
        <v/>
      </c>
      <c r="P68" s="14">
        <f>IF(O68="","",IF(O68=G68,"스페셜오퍼",IF(O68=J68,"도매매","도매꾹")))</f>
        <v/>
      </c>
      <c r="Q68" s="18">
        <f>IF(COUNT(G68,J68,M68)&lt;2,"",MAX(G68,J68,M68)-MIN(G68,J68,M68))</f>
        <v/>
      </c>
      <c r="R68" s="17" t="n"/>
      <c r="S68" s="17" t="n"/>
      <c r="T68" s="18">
        <f>IF(COUNT(R68,S68)=0,"",MIN(R68,S68))</f>
        <v/>
      </c>
      <c r="U68" s="19">
        <f>IF(OR(O68="",T68=""),"",O68/T68)</f>
        <v/>
      </c>
      <c r="V68" s="18">
        <f>IF(T68="","",ROUNDDOWN(T68*(1-설정!$B$3),-2))</f>
        <v/>
      </c>
      <c r="W68" s="17" t="n"/>
      <c r="X68" s="18">
        <f>IF(W68&lt;&gt;"",W68,V68)</f>
        <v/>
      </c>
      <c r="Y68" s="18">
        <f>IF(X68="","",X68*설정!$B$4)</f>
        <v/>
      </c>
      <c r="Z68" s="18">
        <f>IF(OR(X68="",O68=""),"",X68-Y68-O68-설정!$B$7)</f>
        <v/>
      </c>
      <c r="AA68" s="19">
        <f>IF(OR(Z68="",X68=0),"",Z68/X68)</f>
        <v/>
      </c>
      <c r="AB68" s="18">
        <f>IF(OR(T68="",O68=""),"",(T68+설정!$B$10)*(1-설정!$B$5)-O68)</f>
        <v/>
      </c>
      <c r="AC68" s="18">
        <f>IF(OR(T68="",O68=""),"",(T68+설정!$B$10)*(1-설정!$B$6)-O68)</f>
        <v/>
      </c>
      <c r="AD68" s="14">
        <f>IF(B68="","",IF(OR(O68="",T68=""),"가격 입력 필요",IF(Z68&lt;=0,"❌ 제외",IF(AND(P68="도매꾹",N68&gt;1),"⚠️ 최소수량 확인",IF(AND(AA68&gt;=설정!$B$8,Z68&gt;=설정!$B$9),"✅ 판매추천",IF(Z68&gt;0,"⚠️ 마진부족","❌ 제외"))))))</f>
        <v/>
      </c>
      <c r="AE68" s="15" t="n"/>
    </row>
    <row r="69">
      <c r="A69" s="14" t="n">
        <v>65</v>
      </c>
      <c r="B69" s="15" t="n"/>
      <c r="C69" s="15" t="n"/>
      <c r="D69" s="16" t="n"/>
      <c r="E69" s="17" t="n"/>
      <c r="F69" s="17" t="n"/>
      <c r="G69" s="18">
        <f>IF(E69="","",E69+F69)</f>
        <v/>
      </c>
      <c r="H69" s="17" t="n"/>
      <c r="I69" s="17" t="n"/>
      <c r="J69" s="18">
        <f>IF(H69="","",H69+I69)</f>
        <v/>
      </c>
      <c r="K69" s="17" t="n"/>
      <c r="L69" s="17" t="n"/>
      <c r="M69" s="18">
        <f>IF(K69="","",K69+L69)</f>
        <v/>
      </c>
      <c r="N69" s="16" t="n"/>
      <c r="O69" s="18">
        <f>IF(COUNT(G69,J69,M69)=0,"",MIN(G69,J69,M69))</f>
        <v/>
      </c>
      <c r="P69" s="14">
        <f>IF(O69="","",IF(O69=G69,"스페셜오퍼",IF(O69=J69,"도매매","도매꾹")))</f>
        <v/>
      </c>
      <c r="Q69" s="18">
        <f>IF(COUNT(G69,J69,M69)&lt;2,"",MAX(G69,J69,M69)-MIN(G69,J69,M69))</f>
        <v/>
      </c>
      <c r="R69" s="17" t="n"/>
      <c r="S69" s="17" t="n"/>
      <c r="T69" s="18">
        <f>IF(COUNT(R69,S69)=0,"",MIN(R69,S69))</f>
        <v/>
      </c>
      <c r="U69" s="19">
        <f>IF(OR(O69="",T69=""),"",O69/T69)</f>
        <v/>
      </c>
      <c r="V69" s="18">
        <f>IF(T69="","",ROUNDDOWN(T69*(1-설정!$B$3),-2))</f>
        <v/>
      </c>
      <c r="W69" s="17" t="n"/>
      <c r="X69" s="18">
        <f>IF(W69&lt;&gt;"",W69,V69)</f>
        <v/>
      </c>
      <c r="Y69" s="18">
        <f>IF(X69="","",X69*설정!$B$4)</f>
        <v/>
      </c>
      <c r="Z69" s="18">
        <f>IF(OR(X69="",O69=""),"",X69-Y69-O69-설정!$B$7)</f>
        <v/>
      </c>
      <c r="AA69" s="19">
        <f>IF(OR(Z69="",X69=0),"",Z69/X69)</f>
        <v/>
      </c>
      <c r="AB69" s="18">
        <f>IF(OR(T69="",O69=""),"",(T69+설정!$B$10)*(1-설정!$B$5)-O69)</f>
        <v/>
      </c>
      <c r="AC69" s="18">
        <f>IF(OR(T69="",O69=""),"",(T69+설정!$B$10)*(1-설정!$B$6)-O69)</f>
        <v/>
      </c>
      <c r="AD69" s="14">
        <f>IF(B69="","",IF(OR(O69="",T69=""),"가격 입력 필요",IF(Z69&lt;=0,"❌ 제외",IF(AND(P69="도매꾹",N69&gt;1),"⚠️ 최소수량 확인",IF(AND(AA69&gt;=설정!$B$8,Z69&gt;=설정!$B$9),"✅ 판매추천",IF(Z69&gt;0,"⚠️ 마진부족","❌ 제외"))))))</f>
        <v/>
      </c>
      <c r="AE69" s="15" t="n"/>
    </row>
    <row r="70">
      <c r="A70" s="14" t="n">
        <v>66</v>
      </c>
      <c r="B70" s="15" t="n"/>
      <c r="C70" s="15" t="n"/>
      <c r="D70" s="16" t="n"/>
      <c r="E70" s="17" t="n"/>
      <c r="F70" s="17" t="n"/>
      <c r="G70" s="18">
        <f>IF(E70="","",E70+F70)</f>
        <v/>
      </c>
      <c r="H70" s="17" t="n"/>
      <c r="I70" s="17" t="n"/>
      <c r="J70" s="18">
        <f>IF(H70="","",H70+I70)</f>
        <v/>
      </c>
      <c r="K70" s="17" t="n"/>
      <c r="L70" s="17" t="n"/>
      <c r="M70" s="18">
        <f>IF(K70="","",K70+L70)</f>
        <v/>
      </c>
      <c r="N70" s="16" t="n"/>
      <c r="O70" s="18">
        <f>IF(COUNT(G70,J70,M70)=0,"",MIN(G70,J70,M70))</f>
        <v/>
      </c>
      <c r="P70" s="14">
        <f>IF(O70="","",IF(O70=G70,"스페셜오퍼",IF(O70=J70,"도매매","도매꾹")))</f>
        <v/>
      </c>
      <c r="Q70" s="18">
        <f>IF(COUNT(G70,J70,M70)&lt;2,"",MAX(G70,J70,M70)-MIN(G70,J70,M70))</f>
        <v/>
      </c>
      <c r="R70" s="17" t="n"/>
      <c r="S70" s="17" t="n"/>
      <c r="T70" s="18">
        <f>IF(COUNT(R70,S70)=0,"",MIN(R70,S70))</f>
        <v/>
      </c>
      <c r="U70" s="19">
        <f>IF(OR(O70="",T70=""),"",O70/T70)</f>
        <v/>
      </c>
      <c r="V70" s="18">
        <f>IF(T70="","",ROUNDDOWN(T70*(1-설정!$B$3),-2))</f>
        <v/>
      </c>
      <c r="W70" s="17" t="n"/>
      <c r="X70" s="18">
        <f>IF(W70&lt;&gt;"",W70,V70)</f>
        <v/>
      </c>
      <c r="Y70" s="18">
        <f>IF(X70="","",X70*설정!$B$4)</f>
        <v/>
      </c>
      <c r="Z70" s="18">
        <f>IF(OR(X70="",O70=""),"",X70-Y70-O70-설정!$B$7)</f>
        <v/>
      </c>
      <c r="AA70" s="19">
        <f>IF(OR(Z70="",X70=0),"",Z70/X70)</f>
        <v/>
      </c>
      <c r="AB70" s="18">
        <f>IF(OR(T70="",O70=""),"",(T70+설정!$B$10)*(1-설정!$B$5)-O70)</f>
        <v/>
      </c>
      <c r="AC70" s="18">
        <f>IF(OR(T70="",O70=""),"",(T70+설정!$B$10)*(1-설정!$B$6)-O70)</f>
        <v/>
      </c>
      <c r="AD70" s="14">
        <f>IF(B70="","",IF(OR(O70="",T70=""),"가격 입력 필요",IF(Z70&lt;=0,"❌ 제외",IF(AND(P70="도매꾹",N70&gt;1),"⚠️ 최소수량 확인",IF(AND(AA70&gt;=설정!$B$8,Z70&gt;=설정!$B$9),"✅ 판매추천",IF(Z70&gt;0,"⚠️ 마진부족","❌ 제외"))))))</f>
        <v/>
      </c>
      <c r="AE70" s="15" t="n"/>
    </row>
    <row r="71">
      <c r="A71" s="14" t="n">
        <v>67</v>
      </c>
      <c r="B71" s="15" t="n"/>
      <c r="C71" s="15" t="n"/>
      <c r="D71" s="16" t="n"/>
      <c r="E71" s="17" t="n"/>
      <c r="F71" s="17" t="n"/>
      <c r="G71" s="18">
        <f>IF(E71="","",E71+F71)</f>
        <v/>
      </c>
      <c r="H71" s="17" t="n"/>
      <c r="I71" s="17" t="n"/>
      <c r="J71" s="18">
        <f>IF(H71="","",H71+I71)</f>
        <v/>
      </c>
      <c r="K71" s="17" t="n"/>
      <c r="L71" s="17" t="n"/>
      <c r="M71" s="18">
        <f>IF(K71="","",K71+L71)</f>
        <v/>
      </c>
      <c r="N71" s="16" t="n"/>
      <c r="O71" s="18">
        <f>IF(COUNT(G71,J71,M71)=0,"",MIN(G71,J71,M71))</f>
        <v/>
      </c>
      <c r="P71" s="14">
        <f>IF(O71="","",IF(O71=G71,"스페셜오퍼",IF(O71=J71,"도매매","도매꾹")))</f>
        <v/>
      </c>
      <c r="Q71" s="18">
        <f>IF(COUNT(G71,J71,M71)&lt;2,"",MAX(G71,J71,M71)-MIN(G71,J71,M71))</f>
        <v/>
      </c>
      <c r="R71" s="17" t="n"/>
      <c r="S71" s="17" t="n"/>
      <c r="T71" s="18">
        <f>IF(COUNT(R71,S71)=0,"",MIN(R71,S71))</f>
        <v/>
      </c>
      <c r="U71" s="19">
        <f>IF(OR(O71="",T71=""),"",O71/T71)</f>
        <v/>
      </c>
      <c r="V71" s="18">
        <f>IF(T71="","",ROUNDDOWN(T71*(1-설정!$B$3),-2))</f>
        <v/>
      </c>
      <c r="W71" s="17" t="n"/>
      <c r="X71" s="18">
        <f>IF(W71&lt;&gt;"",W71,V71)</f>
        <v/>
      </c>
      <c r="Y71" s="18">
        <f>IF(X71="","",X71*설정!$B$4)</f>
        <v/>
      </c>
      <c r="Z71" s="18">
        <f>IF(OR(X71="",O71=""),"",X71-Y71-O71-설정!$B$7)</f>
        <v/>
      </c>
      <c r="AA71" s="19">
        <f>IF(OR(Z71="",X71=0),"",Z71/X71)</f>
        <v/>
      </c>
      <c r="AB71" s="18">
        <f>IF(OR(T71="",O71=""),"",(T71+설정!$B$10)*(1-설정!$B$5)-O71)</f>
        <v/>
      </c>
      <c r="AC71" s="18">
        <f>IF(OR(T71="",O71=""),"",(T71+설정!$B$10)*(1-설정!$B$6)-O71)</f>
        <v/>
      </c>
      <c r="AD71" s="14">
        <f>IF(B71="","",IF(OR(O71="",T71=""),"가격 입력 필요",IF(Z71&lt;=0,"❌ 제외",IF(AND(P71="도매꾹",N71&gt;1),"⚠️ 최소수량 확인",IF(AND(AA71&gt;=설정!$B$8,Z71&gt;=설정!$B$9),"✅ 판매추천",IF(Z71&gt;0,"⚠️ 마진부족","❌ 제외"))))))</f>
        <v/>
      </c>
      <c r="AE71" s="15" t="n"/>
    </row>
    <row r="72">
      <c r="A72" s="14" t="n">
        <v>68</v>
      </c>
      <c r="B72" s="15" t="n"/>
      <c r="C72" s="15" t="n"/>
      <c r="D72" s="16" t="n"/>
      <c r="E72" s="17" t="n"/>
      <c r="F72" s="17" t="n"/>
      <c r="G72" s="18">
        <f>IF(E72="","",E72+F72)</f>
        <v/>
      </c>
      <c r="H72" s="17" t="n"/>
      <c r="I72" s="17" t="n"/>
      <c r="J72" s="18">
        <f>IF(H72="","",H72+I72)</f>
        <v/>
      </c>
      <c r="K72" s="17" t="n"/>
      <c r="L72" s="17" t="n"/>
      <c r="M72" s="18">
        <f>IF(K72="","",K72+L72)</f>
        <v/>
      </c>
      <c r="N72" s="16" t="n"/>
      <c r="O72" s="18">
        <f>IF(COUNT(G72,J72,M72)=0,"",MIN(G72,J72,M72))</f>
        <v/>
      </c>
      <c r="P72" s="14">
        <f>IF(O72="","",IF(O72=G72,"스페셜오퍼",IF(O72=J72,"도매매","도매꾹")))</f>
        <v/>
      </c>
      <c r="Q72" s="18">
        <f>IF(COUNT(G72,J72,M72)&lt;2,"",MAX(G72,J72,M72)-MIN(G72,J72,M72))</f>
        <v/>
      </c>
      <c r="R72" s="17" t="n"/>
      <c r="S72" s="17" t="n"/>
      <c r="T72" s="18">
        <f>IF(COUNT(R72,S72)=0,"",MIN(R72,S72))</f>
        <v/>
      </c>
      <c r="U72" s="19">
        <f>IF(OR(O72="",T72=""),"",O72/T72)</f>
        <v/>
      </c>
      <c r="V72" s="18">
        <f>IF(T72="","",ROUNDDOWN(T72*(1-설정!$B$3),-2))</f>
        <v/>
      </c>
      <c r="W72" s="17" t="n"/>
      <c r="X72" s="18">
        <f>IF(W72&lt;&gt;"",W72,V72)</f>
        <v/>
      </c>
      <c r="Y72" s="18">
        <f>IF(X72="","",X72*설정!$B$4)</f>
        <v/>
      </c>
      <c r="Z72" s="18">
        <f>IF(OR(X72="",O72=""),"",X72-Y72-O72-설정!$B$7)</f>
        <v/>
      </c>
      <c r="AA72" s="19">
        <f>IF(OR(Z72="",X72=0),"",Z72/X72)</f>
        <v/>
      </c>
      <c r="AB72" s="18">
        <f>IF(OR(T72="",O72=""),"",(T72+설정!$B$10)*(1-설정!$B$5)-O72)</f>
        <v/>
      </c>
      <c r="AC72" s="18">
        <f>IF(OR(T72="",O72=""),"",(T72+설정!$B$10)*(1-설정!$B$6)-O72)</f>
        <v/>
      </c>
      <c r="AD72" s="14">
        <f>IF(B72="","",IF(OR(O72="",T72=""),"가격 입력 필요",IF(Z72&lt;=0,"❌ 제외",IF(AND(P72="도매꾹",N72&gt;1),"⚠️ 최소수량 확인",IF(AND(AA72&gt;=설정!$B$8,Z72&gt;=설정!$B$9),"✅ 판매추천",IF(Z72&gt;0,"⚠️ 마진부족","❌ 제외"))))))</f>
        <v/>
      </c>
      <c r="AE72" s="15" t="n"/>
    </row>
    <row r="73">
      <c r="A73" s="14" t="n">
        <v>69</v>
      </c>
      <c r="B73" s="15" t="n"/>
      <c r="C73" s="15" t="n"/>
      <c r="D73" s="16" t="n"/>
      <c r="E73" s="17" t="n"/>
      <c r="F73" s="17" t="n"/>
      <c r="G73" s="18">
        <f>IF(E73="","",E73+F73)</f>
        <v/>
      </c>
      <c r="H73" s="17" t="n"/>
      <c r="I73" s="17" t="n"/>
      <c r="J73" s="18">
        <f>IF(H73="","",H73+I73)</f>
        <v/>
      </c>
      <c r="K73" s="17" t="n"/>
      <c r="L73" s="17" t="n"/>
      <c r="M73" s="18">
        <f>IF(K73="","",K73+L73)</f>
        <v/>
      </c>
      <c r="N73" s="16" t="n"/>
      <c r="O73" s="18">
        <f>IF(COUNT(G73,J73,M73)=0,"",MIN(G73,J73,M73))</f>
        <v/>
      </c>
      <c r="P73" s="14">
        <f>IF(O73="","",IF(O73=G73,"스페셜오퍼",IF(O73=J73,"도매매","도매꾹")))</f>
        <v/>
      </c>
      <c r="Q73" s="18">
        <f>IF(COUNT(G73,J73,M73)&lt;2,"",MAX(G73,J73,M73)-MIN(G73,J73,M73))</f>
        <v/>
      </c>
      <c r="R73" s="17" t="n"/>
      <c r="S73" s="17" t="n"/>
      <c r="T73" s="18">
        <f>IF(COUNT(R73,S73)=0,"",MIN(R73,S73))</f>
        <v/>
      </c>
      <c r="U73" s="19">
        <f>IF(OR(O73="",T73=""),"",O73/T73)</f>
        <v/>
      </c>
      <c r="V73" s="18">
        <f>IF(T73="","",ROUNDDOWN(T73*(1-설정!$B$3),-2))</f>
        <v/>
      </c>
      <c r="W73" s="17" t="n"/>
      <c r="X73" s="18">
        <f>IF(W73&lt;&gt;"",W73,V73)</f>
        <v/>
      </c>
      <c r="Y73" s="18">
        <f>IF(X73="","",X73*설정!$B$4)</f>
        <v/>
      </c>
      <c r="Z73" s="18">
        <f>IF(OR(X73="",O73=""),"",X73-Y73-O73-설정!$B$7)</f>
        <v/>
      </c>
      <c r="AA73" s="19">
        <f>IF(OR(Z73="",X73=0),"",Z73/X73)</f>
        <v/>
      </c>
      <c r="AB73" s="18">
        <f>IF(OR(T73="",O73=""),"",(T73+설정!$B$10)*(1-설정!$B$5)-O73)</f>
        <v/>
      </c>
      <c r="AC73" s="18">
        <f>IF(OR(T73="",O73=""),"",(T73+설정!$B$10)*(1-설정!$B$6)-O73)</f>
        <v/>
      </c>
      <c r="AD73" s="14">
        <f>IF(B73="","",IF(OR(O73="",T73=""),"가격 입력 필요",IF(Z73&lt;=0,"❌ 제외",IF(AND(P73="도매꾹",N73&gt;1),"⚠️ 최소수량 확인",IF(AND(AA73&gt;=설정!$B$8,Z73&gt;=설정!$B$9),"✅ 판매추천",IF(Z73&gt;0,"⚠️ 마진부족","❌ 제외"))))))</f>
        <v/>
      </c>
      <c r="AE73" s="15" t="n"/>
    </row>
    <row r="74">
      <c r="A74" s="14" t="n">
        <v>70</v>
      </c>
      <c r="B74" s="15" t="n"/>
      <c r="C74" s="15" t="n"/>
      <c r="D74" s="16" t="n"/>
      <c r="E74" s="17" t="n"/>
      <c r="F74" s="17" t="n"/>
      <c r="G74" s="18">
        <f>IF(E74="","",E74+F74)</f>
        <v/>
      </c>
      <c r="H74" s="17" t="n"/>
      <c r="I74" s="17" t="n"/>
      <c r="J74" s="18">
        <f>IF(H74="","",H74+I74)</f>
        <v/>
      </c>
      <c r="K74" s="17" t="n"/>
      <c r="L74" s="17" t="n"/>
      <c r="M74" s="18">
        <f>IF(K74="","",K74+L74)</f>
        <v/>
      </c>
      <c r="N74" s="16" t="n"/>
      <c r="O74" s="18">
        <f>IF(COUNT(G74,J74,M74)=0,"",MIN(G74,J74,M74))</f>
        <v/>
      </c>
      <c r="P74" s="14">
        <f>IF(O74="","",IF(O74=G74,"스페셜오퍼",IF(O74=J74,"도매매","도매꾹")))</f>
        <v/>
      </c>
      <c r="Q74" s="18">
        <f>IF(COUNT(G74,J74,M74)&lt;2,"",MAX(G74,J74,M74)-MIN(G74,J74,M74))</f>
        <v/>
      </c>
      <c r="R74" s="17" t="n"/>
      <c r="S74" s="17" t="n"/>
      <c r="T74" s="18">
        <f>IF(COUNT(R74,S74)=0,"",MIN(R74,S74))</f>
        <v/>
      </c>
      <c r="U74" s="19">
        <f>IF(OR(O74="",T74=""),"",O74/T74)</f>
        <v/>
      </c>
      <c r="V74" s="18">
        <f>IF(T74="","",ROUNDDOWN(T74*(1-설정!$B$3),-2))</f>
        <v/>
      </c>
      <c r="W74" s="17" t="n"/>
      <c r="X74" s="18">
        <f>IF(W74&lt;&gt;"",W74,V74)</f>
        <v/>
      </c>
      <c r="Y74" s="18">
        <f>IF(X74="","",X74*설정!$B$4)</f>
        <v/>
      </c>
      <c r="Z74" s="18">
        <f>IF(OR(X74="",O74=""),"",X74-Y74-O74-설정!$B$7)</f>
        <v/>
      </c>
      <c r="AA74" s="19">
        <f>IF(OR(Z74="",X74=0),"",Z74/X74)</f>
        <v/>
      </c>
      <c r="AB74" s="18">
        <f>IF(OR(T74="",O74=""),"",(T74+설정!$B$10)*(1-설정!$B$5)-O74)</f>
        <v/>
      </c>
      <c r="AC74" s="18">
        <f>IF(OR(T74="",O74=""),"",(T74+설정!$B$10)*(1-설정!$B$6)-O74)</f>
        <v/>
      </c>
      <c r="AD74" s="14">
        <f>IF(B74="","",IF(OR(O74="",T74=""),"가격 입력 필요",IF(Z74&lt;=0,"❌ 제외",IF(AND(P74="도매꾹",N74&gt;1),"⚠️ 최소수량 확인",IF(AND(AA74&gt;=설정!$B$8,Z74&gt;=설정!$B$9),"✅ 판매추천",IF(Z74&gt;0,"⚠️ 마진부족","❌ 제외"))))))</f>
        <v/>
      </c>
      <c r="AE74" s="15" t="n"/>
    </row>
    <row r="75">
      <c r="A75" s="14" t="n">
        <v>71</v>
      </c>
      <c r="B75" s="15" t="n"/>
      <c r="C75" s="15" t="n"/>
      <c r="D75" s="16" t="n"/>
      <c r="E75" s="17" t="n"/>
      <c r="F75" s="17" t="n"/>
      <c r="G75" s="18">
        <f>IF(E75="","",E75+F75)</f>
        <v/>
      </c>
      <c r="H75" s="17" t="n"/>
      <c r="I75" s="17" t="n"/>
      <c r="J75" s="18">
        <f>IF(H75="","",H75+I75)</f>
        <v/>
      </c>
      <c r="K75" s="17" t="n"/>
      <c r="L75" s="17" t="n"/>
      <c r="M75" s="18">
        <f>IF(K75="","",K75+L75)</f>
        <v/>
      </c>
      <c r="N75" s="16" t="n"/>
      <c r="O75" s="18">
        <f>IF(COUNT(G75,J75,M75)=0,"",MIN(G75,J75,M75))</f>
        <v/>
      </c>
      <c r="P75" s="14">
        <f>IF(O75="","",IF(O75=G75,"스페셜오퍼",IF(O75=J75,"도매매","도매꾹")))</f>
        <v/>
      </c>
      <c r="Q75" s="18">
        <f>IF(COUNT(G75,J75,M75)&lt;2,"",MAX(G75,J75,M75)-MIN(G75,J75,M75))</f>
        <v/>
      </c>
      <c r="R75" s="17" t="n"/>
      <c r="S75" s="17" t="n"/>
      <c r="T75" s="18">
        <f>IF(COUNT(R75,S75)=0,"",MIN(R75,S75))</f>
        <v/>
      </c>
      <c r="U75" s="19">
        <f>IF(OR(O75="",T75=""),"",O75/T75)</f>
        <v/>
      </c>
      <c r="V75" s="18">
        <f>IF(T75="","",ROUNDDOWN(T75*(1-설정!$B$3),-2))</f>
        <v/>
      </c>
      <c r="W75" s="17" t="n"/>
      <c r="X75" s="18">
        <f>IF(W75&lt;&gt;"",W75,V75)</f>
        <v/>
      </c>
      <c r="Y75" s="18">
        <f>IF(X75="","",X75*설정!$B$4)</f>
        <v/>
      </c>
      <c r="Z75" s="18">
        <f>IF(OR(X75="",O75=""),"",X75-Y75-O75-설정!$B$7)</f>
        <v/>
      </c>
      <c r="AA75" s="19">
        <f>IF(OR(Z75="",X75=0),"",Z75/X75)</f>
        <v/>
      </c>
      <c r="AB75" s="18">
        <f>IF(OR(T75="",O75=""),"",(T75+설정!$B$10)*(1-설정!$B$5)-O75)</f>
        <v/>
      </c>
      <c r="AC75" s="18">
        <f>IF(OR(T75="",O75=""),"",(T75+설정!$B$10)*(1-설정!$B$6)-O75)</f>
        <v/>
      </c>
      <c r="AD75" s="14">
        <f>IF(B75="","",IF(OR(O75="",T75=""),"가격 입력 필요",IF(Z75&lt;=0,"❌ 제외",IF(AND(P75="도매꾹",N75&gt;1),"⚠️ 최소수량 확인",IF(AND(AA75&gt;=설정!$B$8,Z75&gt;=설정!$B$9),"✅ 판매추천",IF(Z75&gt;0,"⚠️ 마진부족","❌ 제외"))))))</f>
        <v/>
      </c>
      <c r="AE75" s="15" t="n"/>
    </row>
    <row r="76">
      <c r="A76" s="14" t="n">
        <v>72</v>
      </c>
      <c r="B76" s="15" t="n"/>
      <c r="C76" s="15" t="n"/>
      <c r="D76" s="16" t="n"/>
      <c r="E76" s="17" t="n"/>
      <c r="F76" s="17" t="n"/>
      <c r="G76" s="18">
        <f>IF(E76="","",E76+F76)</f>
        <v/>
      </c>
      <c r="H76" s="17" t="n"/>
      <c r="I76" s="17" t="n"/>
      <c r="J76" s="18">
        <f>IF(H76="","",H76+I76)</f>
        <v/>
      </c>
      <c r="K76" s="17" t="n"/>
      <c r="L76" s="17" t="n"/>
      <c r="M76" s="18">
        <f>IF(K76="","",K76+L76)</f>
        <v/>
      </c>
      <c r="N76" s="16" t="n"/>
      <c r="O76" s="18">
        <f>IF(COUNT(G76,J76,M76)=0,"",MIN(G76,J76,M76))</f>
        <v/>
      </c>
      <c r="P76" s="14">
        <f>IF(O76="","",IF(O76=G76,"스페셜오퍼",IF(O76=J76,"도매매","도매꾹")))</f>
        <v/>
      </c>
      <c r="Q76" s="18">
        <f>IF(COUNT(G76,J76,M76)&lt;2,"",MAX(G76,J76,M76)-MIN(G76,J76,M76))</f>
        <v/>
      </c>
      <c r="R76" s="17" t="n"/>
      <c r="S76" s="17" t="n"/>
      <c r="T76" s="18">
        <f>IF(COUNT(R76,S76)=0,"",MIN(R76,S76))</f>
        <v/>
      </c>
      <c r="U76" s="19">
        <f>IF(OR(O76="",T76=""),"",O76/T76)</f>
        <v/>
      </c>
      <c r="V76" s="18">
        <f>IF(T76="","",ROUNDDOWN(T76*(1-설정!$B$3),-2))</f>
        <v/>
      </c>
      <c r="W76" s="17" t="n"/>
      <c r="X76" s="18">
        <f>IF(W76&lt;&gt;"",W76,V76)</f>
        <v/>
      </c>
      <c r="Y76" s="18">
        <f>IF(X76="","",X76*설정!$B$4)</f>
        <v/>
      </c>
      <c r="Z76" s="18">
        <f>IF(OR(X76="",O76=""),"",X76-Y76-O76-설정!$B$7)</f>
        <v/>
      </c>
      <c r="AA76" s="19">
        <f>IF(OR(Z76="",X76=0),"",Z76/X76)</f>
        <v/>
      </c>
      <c r="AB76" s="18">
        <f>IF(OR(T76="",O76=""),"",(T76+설정!$B$10)*(1-설정!$B$5)-O76)</f>
        <v/>
      </c>
      <c r="AC76" s="18">
        <f>IF(OR(T76="",O76=""),"",(T76+설정!$B$10)*(1-설정!$B$6)-O76)</f>
        <v/>
      </c>
      <c r="AD76" s="14">
        <f>IF(B76="","",IF(OR(O76="",T76=""),"가격 입력 필요",IF(Z76&lt;=0,"❌ 제외",IF(AND(P76="도매꾹",N76&gt;1),"⚠️ 최소수량 확인",IF(AND(AA76&gt;=설정!$B$8,Z76&gt;=설정!$B$9),"✅ 판매추천",IF(Z76&gt;0,"⚠️ 마진부족","❌ 제외"))))))</f>
        <v/>
      </c>
      <c r="AE76" s="15" t="n"/>
    </row>
    <row r="77">
      <c r="A77" s="14" t="n">
        <v>73</v>
      </c>
      <c r="B77" s="15" t="n"/>
      <c r="C77" s="15" t="n"/>
      <c r="D77" s="16" t="n"/>
      <c r="E77" s="17" t="n"/>
      <c r="F77" s="17" t="n"/>
      <c r="G77" s="18">
        <f>IF(E77="","",E77+F77)</f>
        <v/>
      </c>
      <c r="H77" s="17" t="n"/>
      <c r="I77" s="17" t="n"/>
      <c r="J77" s="18">
        <f>IF(H77="","",H77+I77)</f>
        <v/>
      </c>
      <c r="K77" s="17" t="n"/>
      <c r="L77" s="17" t="n"/>
      <c r="M77" s="18">
        <f>IF(K77="","",K77+L77)</f>
        <v/>
      </c>
      <c r="N77" s="16" t="n"/>
      <c r="O77" s="18">
        <f>IF(COUNT(G77,J77,M77)=0,"",MIN(G77,J77,M77))</f>
        <v/>
      </c>
      <c r="P77" s="14">
        <f>IF(O77="","",IF(O77=G77,"스페셜오퍼",IF(O77=J77,"도매매","도매꾹")))</f>
        <v/>
      </c>
      <c r="Q77" s="18">
        <f>IF(COUNT(G77,J77,M77)&lt;2,"",MAX(G77,J77,M77)-MIN(G77,J77,M77))</f>
        <v/>
      </c>
      <c r="R77" s="17" t="n"/>
      <c r="S77" s="17" t="n"/>
      <c r="T77" s="18">
        <f>IF(COUNT(R77,S77)=0,"",MIN(R77,S77))</f>
        <v/>
      </c>
      <c r="U77" s="19">
        <f>IF(OR(O77="",T77=""),"",O77/T77)</f>
        <v/>
      </c>
      <c r="V77" s="18">
        <f>IF(T77="","",ROUNDDOWN(T77*(1-설정!$B$3),-2))</f>
        <v/>
      </c>
      <c r="W77" s="17" t="n"/>
      <c r="X77" s="18">
        <f>IF(W77&lt;&gt;"",W77,V77)</f>
        <v/>
      </c>
      <c r="Y77" s="18">
        <f>IF(X77="","",X77*설정!$B$4)</f>
        <v/>
      </c>
      <c r="Z77" s="18">
        <f>IF(OR(X77="",O77=""),"",X77-Y77-O77-설정!$B$7)</f>
        <v/>
      </c>
      <c r="AA77" s="19">
        <f>IF(OR(Z77="",X77=0),"",Z77/X77)</f>
        <v/>
      </c>
      <c r="AB77" s="18">
        <f>IF(OR(T77="",O77=""),"",(T77+설정!$B$10)*(1-설정!$B$5)-O77)</f>
        <v/>
      </c>
      <c r="AC77" s="18">
        <f>IF(OR(T77="",O77=""),"",(T77+설정!$B$10)*(1-설정!$B$6)-O77)</f>
        <v/>
      </c>
      <c r="AD77" s="14">
        <f>IF(B77="","",IF(OR(O77="",T77=""),"가격 입력 필요",IF(Z77&lt;=0,"❌ 제외",IF(AND(P77="도매꾹",N77&gt;1),"⚠️ 최소수량 확인",IF(AND(AA77&gt;=설정!$B$8,Z77&gt;=설정!$B$9),"✅ 판매추천",IF(Z77&gt;0,"⚠️ 마진부족","❌ 제외"))))))</f>
        <v/>
      </c>
      <c r="AE77" s="15" t="n"/>
    </row>
    <row r="78">
      <c r="A78" s="14" t="n">
        <v>74</v>
      </c>
      <c r="B78" s="15" t="n"/>
      <c r="C78" s="15" t="n"/>
      <c r="D78" s="16" t="n"/>
      <c r="E78" s="17" t="n"/>
      <c r="F78" s="17" t="n"/>
      <c r="G78" s="18">
        <f>IF(E78="","",E78+F78)</f>
        <v/>
      </c>
      <c r="H78" s="17" t="n"/>
      <c r="I78" s="17" t="n"/>
      <c r="J78" s="18">
        <f>IF(H78="","",H78+I78)</f>
        <v/>
      </c>
      <c r="K78" s="17" t="n"/>
      <c r="L78" s="17" t="n"/>
      <c r="M78" s="18">
        <f>IF(K78="","",K78+L78)</f>
        <v/>
      </c>
      <c r="N78" s="16" t="n"/>
      <c r="O78" s="18">
        <f>IF(COUNT(G78,J78,M78)=0,"",MIN(G78,J78,M78))</f>
        <v/>
      </c>
      <c r="P78" s="14">
        <f>IF(O78="","",IF(O78=G78,"스페셜오퍼",IF(O78=J78,"도매매","도매꾹")))</f>
        <v/>
      </c>
      <c r="Q78" s="18">
        <f>IF(COUNT(G78,J78,M78)&lt;2,"",MAX(G78,J78,M78)-MIN(G78,J78,M78))</f>
        <v/>
      </c>
      <c r="R78" s="17" t="n"/>
      <c r="S78" s="17" t="n"/>
      <c r="T78" s="18">
        <f>IF(COUNT(R78,S78)=0,"",MIN(R78,S78))</f>
        <v/>
      </c>
      <c r="U78" s="19">
        <f>IF(OR(O78="",T78=""),"",O78/T78)</f>
        <v/>
      </c>
      <c r="V78" s="18">
        <f>IF(T78="","",ROUNDDOWN(T78*(1-설정!$B$3),-2))</f>
        <v/>
      </c>
      <c r="W78" s="17" t="n"/>
      <c r="X78" s="18">
        <f>IF(W78&lt;&gt;"",W78,V78)</f>
        <v/>
      </c>
      <c r="Y78" s="18">
        <f>IF(X78="","",X78*설정!$B$4)</f>
        <v/>
      </c>
      <c r="Z78" s="18">
        <f>IF(OR(X78="",O78=""),"",X78-Y78-O78-설정!$B$7)</f>
        <v/>
      </c>
      <c r="AA78" s="19">
        <f>IF(OR(Z78="",X78=0),"",Z78/X78)</f>
        <v/>
      </c>
      <c r="AB78" s="18">
        <f>IF(OR(T78="",O78=""),"",(T78+설정!$B$10)*(1-설정!$B$5)-O78)</f>
        <v/>
      </c>
      <c r="AC78" s="18">
        <f>IF(OR(T78="",O78=""),"",(T78+설정!$B$10)*(1-설정!$B$6)-O78)</f>
        <v/>
      </c>
      <c r="AD78" s="14">
        <f>IF(B78="","",IF(OR(O78="",T78=""),"가격 입력 필요",IF(Z78&lt;=0,"❌ 제외",IF(AND(P78="도매꾹",N78&gt;1),"⚠️ 최소수량 확인",IF(AND(AA78&gt;=설정!$B$8,Z78&gt;=설정!$B$9),"✅ 판매추천",IF(Z78&gt;0,"⚠️ 마진부족","❌ 제외"))))))</f>
        <v/>
      </c>
      <c r="AE78" s="15" t="n"/>
    </row>
    <row r="79">
      <c r="A79" s="14" t="n">
        <v>75</v>
      </c>
      <c r="B79" s="15" t="n"/>
      <c r="C79" s="15" t="n"/>
      <c r="D79" s="16" t="n"/>
      <c r="E79" s="17" t="n"/>
      <c r="F79" s="17" t="n"/>
      <c r="G79" s="18">
        <f>IF(E79="","",E79+F79)</f>
        <v/>
      </c>
      <c r="H79" s="17" t="n"/>
      <c r="I79" s="17" t="n"/>
      <c r="J79" s="18">
        <f>IF(H79="","",H79+I79)</f>
        <v/>
      </c>
      <c r="K79" s="17" t="n"/>
      <c r="L79" s="17" t="n"/>
      <c r="M79" s="18">
        <f>IF(K79="","",K79+L79)</f>
        <v/>
      </c>
      <c r="N79" s="16" t="n"/>
      <c r="O79" s="18">
        <f>IF(COUNT(G79,J79,M79)=0,"",MIN(G79,J79,M79))</f>
        <v/>
      </c>
      <c r="P79" s="14">
        <f>IF(O79="","",IF(O79=G79,"스페셜오퍼",IF(O79=J79,"도매매","도매꾹")))</f>
        <v/>
      </c>
      <c r="Q79" s="18">
        <f>IF(COUNT(G79,J79,M79)&lt;2,"",MAX(G79,J79,M79)-MIN(G79,J79,M79))</f>
        <v/>
      </c>
      <c r="R79" s="17" t="n"/>
      <c r="S79" s="17" t="n"/>
      <c r="T79" s="18">
        <f>IF(COUNT(R79,S79)=0,"",MIN(R79,S79))</f>
        <v/>
      </c>
      <c r="U79" s="19">
        <f>IF(OR(O79="",T79=""),"",O79/T79)</f>
        <v/>
      </c>
      <c r="V79" s="18">
        <f>IF(T79="","",ROUNDDOWN(T79*(1-설정!$B$3),-2))</f>
        <v/>
      </c>
      <c r="W79" s="17" t="n"/>
      <c r="X79" s="18">
        <f>IF(W79&lt;&gt;"",W79,V79)</f>
        <v/>
      </c>
      <c r="Y79" s="18">
        <f>IF(X79="","",X79*설정!$B$4)</f>
        <v/>
      </c>
      <c r="Z79" s="18">
        <f>IF(OR(X79="",O79=""),"",X79-Y79-O79-설정!$B$7)</f>
        <v/>
      </c>
      <c r="AA79" s="19">
        <f>IF(OR(Z79="",X79=0),"",Z79/X79)</f>
        <v/>
      </c>
      <c r="AB79" s="18">
        <f>IF(OR(T79="",O79=""),"",(T79+설정!$B$10)*(1-설정!$B$5)-O79)</f>
        <v/>
      </c>
      <c r="AC79" s="18">
        <f>IF(OR(T79="",O79=""),"",(T79+설정!$B$10)*(1-설정!$B$6)-O79)</f>
        <v/>
      </c>
      <c r="AD79" s="14">
        <f>IF(B79="","",IF(OR(O79="",T79=""),"가격 입력 필요",IF(Z79&lt;=0,"❌ 제외",IF(AND(P79="도매꾹",N79&gt;1),"⚠️ 최소수량 확인",IF(AND(AA79&gt;=설정!$B$8,Z79&gt;=설정!$B$9),"✅ 판매추천",IF(Z79&gt;0,"⚠️ 마진부족","❌ 제외"))))))</f>
        <v/>
      </c>
      <c r="AE79" s="15" t="n"/>
    </row>
    <row r="80">
      <c r="A80" s="14" t="n">
        <v>76</v>
      </c>
      <c r="B80" s="15" t="n"/>
      <c r="C80" s="15" t="n"/>
      <c r="D80" s="16" t="n"/>
      <c r="E80" s="17" t="n"/>
      <c r="F80" s="17" t="n"/>
      <c r="G80" s="18">
        <f>IF(E80="","",E80+F80)</f>
        <v/>
      </c>
      <c r="H80" s="17" t="n"/>
      <c r="I80" s="17" t="n"/>
      <c r="J80" s="18">
        <f>IF(H80="","",H80+I80)</f>
        <v/>
      </c>
      <c r="K80" s="17" t="n"/>
      <c r="L80" s="17" t="n"/>
      <c r="M80" s="18">
        <f>IF(K80="","",K80+L80)</f>
        <v/>
      </c>
      <c r="N80" s="16" t="n"/>
      <c r="O80" s="18">
        <f>IF(COUNT(G80,J80,M80)=0,"",MIN(G80,J80,M80))</f>
        <v/>
      </c>
      <c r="P80" s="14">
        <f>IF(O80="","",IF(O80=G80,"스페셜오퍼",IF(O80=J80,"도매매","도매꾹")))</f>
        <v/>
      </c>
      <c r="Q80" s="18">
        <f>IF(COUNT(G80,J80,M80)&lt;2,"",MAX(G80,J80,M80)-MIN(G80,J80,M80))</f>
        <v/>
      </c>
      <c r="R80" s="17" t="n"/>
      <c r="S80" s="17" t="n"/>
      <c r="T80" s="18">
        <f>IF(COUNT(R80,S80)=0,"",MIN(R80,S80))</f>
        <v/>
      </c>
      <c r="U80" s="19">
        <f>IF(OR(O80="",T80=""),"",O80/T80)</f>
        <v/>
      </c>
      <c r="V80" s="18">
        <f>IF(T80="","",ROUNDDOWN(T80*(1-설정!$B$3),-2))</f>
        <v/>
      </c>
      <c r="W80" s="17" t="n"/>
      <c r="X80" s="18">
        <f>IF(W80&lt;&gt;"",W80,V80)</f>
        <v/>
      </c>
      <c r="Y80" s="18">
        <f>IF(X80="","",X80*설정!$B$4)</f>
        <v/>
      </c>
      <c r="Z80" s="18">
        <f>IF(OR(X80="",O80=""),"",X80-Y80-O80-설정!$B$7)</f>
        <v/>
      </c>
      <c r="AA80" s="19">
        <f>IF(OR(Z80="",X80=0),"",Z80/X80)</f>
        <v/>
      </c>
      <c r="AB80" s="18">
        <f>IF(OR(T80="",O80=""),"",(T80+설정!$B$10)*(1-설정!$B$5)-O80)</f>
        <v/>
      </c>
      <c r="AC80" s="18">
        <f>IF(OR(T80="",O80=""),"",(T80+설정!$B$10)*(1-설정!$B$6)-O80)</f>
        <v/>
      </c>
      <c r="AD80" s="14">
        <f>IF(B80="","",IF(OR(O80="",T80=""),"가격 입력 필요",IF(Z80&lt;=0,"❌ 제외",IF(AND(P80="도매꾹",N80&gt;1),"⚠️ 최소수량 확인",IF(AND(AA80&gt;=설정!$B$8,Z80&gt;=설정!$B$9),"✅ 판매추천",IF(Z80&gt;0,"⚠️ 마진부족","❌ 제외"))))))</f>
        <v/>
      </c>
      <c r="AE80" s="15" t="n"/>
    </row>
    <row r="81">
      <c r="A81" s="14" t="n">
        <v>77</v>
      </c>
      <c r="B81" s="15" t="n"/>
      <c r="C81" s="15" t="n"/>
      <c r="D81" s="16" t="n"/>
      <c r="E81" s="17" t="n"/>
      <c r="F81" s="17" t="n"/>
      <c r="G81" s="18">
        <f>IF(E81="","",E81+F81)</f>
        <v/>
      </c>
      <c r="H81" s="17" t="n"/>
      <c r="I81" s="17" t="n"/>
      <c r="J81" s="18">
        <f>IF(H81="","",H81+I81)</f>
        <v/>
      </c>
      <c r="K81" s="17" t="n"/>
      <c r="L81" s="17" t="n"/>
      <c r="M81" s="18">
        <f>IF(K81="","",K81+L81)</f>
        <v/>
      </c>
      <c r="N81" s="16" t="n"/>
      <c r="O81" s="18">
        <f>IF(COUNT(G81,J81,M81)=0,"",MIN(G81,J81,M81))</f>
        <v/>
      </c>
      <c r="P81" s="14">
        <f>IF(O81="","",IF(O81=G81,"스페셜오퍼",IF(O81=J81,"도매매","도매꾹")))</f>
        <v/>
      </c>
      <c r="Q81" s="18">
        <f>IF(COUNT(G81,J81,M81)&lt;2,"",MAX(G81,J81,M81)-MIN(G81,J81,M81))</f>
        <v/>
      </c>
      <c r="R81" s="17" t="n"/>
      <c r="S81" s="17" t="n"/>
      <c r="T81" s="18">
        <f>IF(COUNT(R81,S81)=0,"",MIN(R81,S81))</f>
        <v/>
      </c>
      <c r="U81" s="19">
        <f>IF(OR(O81="",T81=""),"",O81/T81)</f>
        <v/>
      </c>
      <c r="V81" s="18">
        <f>IF(T81="","",ROUNDDOWN(T81*(1-설정!$B$3),-2))</f>
        <v/>
      </c>
      <c r="W81" s="17" t="n"/>
      <c r="X81" s="18">
        <f>IF(W81&lt;&gt;"",W81,V81)</f>
        <v/>
      </c>
      <c r="Y81" s="18">
        <f>IF(X81="","",X81*설정!$B$4)</f>
        <v/>
      </c>
      <c r="Z81" s="18">
        <f>IF(OR(X81="",O81=""),"",X81-Y81-O81-설정!$B$7)</f>
        <v/>
      </c>
      <c r="AA81" s="19">
        <f>IF(OR(Z81="",X81=0),"",Z81/X81)</f>
        <v/>
      </c>
      <c r="AB81" s="18">
        <f>IF(OR(T81="",O81=""),"",(T81+설정!$B$10)*(1-설정!$B$5)-O81)</f>
        <v/>
      </c>
      <c r="AC81" s="18">
        <f>IF(OR(T81="",O81=""),"",(T81+설정!$B$10)*(1-설정!$B$6)-O81)</f>
        <v/>
      </c>
      <c r="AD81" s="14">
        <f>IF(B81="","",IF(OR(O81="",T81=""),"가격 입력 필요",IF(Z81&lt;=0,"❌ 제외",IF(AND(P81="도매꾹",N81&gt;1),"⚠️ 최소수량 확인",IF(AND(AA81&gt;=설정!$B$8,Z81&gt;=설정!$B$9),"✅ 판매추천",IF(Z81&gt;0,"⚠️ 마진부족","❌ 제외"))))))</f>
        <v/>
      </c>
      <c r="AE81" s="15" t="n"/>
    </row>
    <row r="82">
      <c r="A82" s="14" t="n">
        <v>78</v>
      </c>
      <c r="B82" s="15" t="n"/>
      <c r="C82" s="15" t="n"/>
      <c r="D82" s="16" t="n"/>
      <c r="E82" s="17" t="n"/>
      <c r="F82" s="17" t="n"/>
      <c r="G82" s="18">
        <f>IF(E82="","",E82+F82)</f>
        <v/>
      </c>
      <c r="H82" s="17" t="n"/>
      <c r="I82" s="17" t="n"/>
      <c r="J82" s="18">
        <f>IF(H82="","",H82+I82)</f>
        <v/>
      </c>
      <c r="K82" s="17" t="n"/>
      <c r="L82" s="17" t="n"/>
      <c r="M82" s="18">
        <f>IF(K82="","",K82+L82)</f>
        <v/>
      </c>
      <c r="N82" s="16" t="n"/>
      <c r="O82" s="18">
        <f>IF(COUNT(G82,J82,M82)=0,"",MIN(G82,J82,M82))</f>
        <v/>
      </c>
      <c r="P82" s="14">
        <f>IF(O82="","",IF(O82=G82,"스페셜오퍼",IF(O82=J82,"도매매","도매꾹")))</f>
        <v/>
      </c>
      <c r="Q82" s="18">
        <f>IF(COUNT(G82,J82,M82)&lt;2,"",MAX(G82,J82,M82)-MIN(G82,J82,M82))</f>
        <v/>
      </c>
      <c r="R82" s="17" t="n"/>
      <c r="S82" s="17" t="n"/>
      <c r="T82" s="18">
        <f>IF(COUNT(R82,S82)=0,"",MIN(R82,S82))</f>
        <v/>
      </c>
      <c r="U82" s="19">
        <f>IF(OR(O82="",T82=""),"",O82/T82)</f>
        <v/>
      </c>
      <c r="V82" s="18">
        <f>IF(T82="","",ROUNDDOWN(T82*(1-설정!$B$3),-2))</f>
        <v/>
      </c>
      <c r="W82" s="17" t="n"/>
      <c r="X82" s="18">
        <f>IF(W82&lt;&gt;"",W82,V82)</f>
        <v/>
      </c>
      <c r="Y82" s="18">
        <f>IF(X82="","",X82*설정!$B$4)</f>
        <v/>
      </c>
      <c r="Z82" s="18">
        <f>IF(OR(X82="",O82=""),"",X82-Y82-O82-설정!$B$7)</f>
        <v/>
      </c>
      <c r="AA82" s="19">
        <f>IF(OR(Z82="",X82=0),"",Z82/X82)</f>
        <v/>
      </c>
      <c r="AB82" s="18">
        <f>IF(OR(T82="",O82=""),"",(T82+설정!$B$10)*(1-설정!$B$5)-O82)</f>
        <v/>
      </c>
      <c r="AC82" s="18">
        <f>IF(OR(T82="",O82=""),"",(T82+설정!$B$10)*(1-설정!$B$6)-O82)</f>
        <v/>
      </c>
      <c r="AD82" s="14">
        <f>IF(B82="","",IF(OR(O82="",T82=""),"가격 입력 필요",IF(Z82&lt;=0,"❌ 제외",IF(AND(P82="도매꾹",N82&gt;1),"⚠️ 최소수량 확인",IF(AND(AA82&gt;=설정!$B$8,Z82&gt;=설정!$B$9),"✅ 판매추천",IF(Z82&gt;0,"⚠️ 마진부족","❌ 제외"))))))</f>
        <v/>
      </c>
      <c r="AE82" s="15" t="n"/>
    </row>
    <row r="83">
      <c r="A83" s="14" t="n">
        <v>79</v>
      </c>
      <c r="B83" s="15" t="n"/>
      <c r="C83" s="15" t="n"/>
      <c r="D83" s="16" t="n"/>
      <c r="E83" s="17" t="n"/>
      <c r="F83" s="17" t="n"/>
      <c r="G83" s="18">
        <f>IF(E83="","",E83+F83)</f>
        <v/>
      </c>
      <c r="H83" s="17" t="n"/>
      <c r="I83" s="17" t="n"/>
      <c r="J83" s="18">
        <f>IF(H83="","",H83+I83)</f>
        <v/>
      </c>
      <c r="K83" s="17" t="n"/>
      <c r="L83" s="17" t="n"/>
      <c r="M83" s="18">
        <f>IF(K83="","",K83+L83)</f>
        <v/>
      </c>
      <c r="N83" s="16" t="n"/>
      <c r="O83" s="18">
        <f>IF(COUNT(G83,J83,M83)=0,"",MIN(G83,J83,M83))</f>
        <v/>
      </c>
      <c r="P83" s="14">
        <f>IF(O83="","",IF(O83=G83,"스페셜오퍼",IF(O83=J83,"도매매","도매꾹")))</f>
        <v/>
      </c>
      <c r="Q83" s="18">
        <f>IF(COUNT(G83,J83,M83)&lt;2,"",MAX(G83,J83,M83)-MIN(G83,J83,M83))</f>
        <v/>
      </c>
      <c r="R83" s="17" t="n"/>
      <c r="S83" s="17" t="n"/>
      <c r="T83" s="18">
        <f>IF(COUNT(R83,S83)=0,"",MIN(R83,S83))</f>
        <v/>
      </c>
      <c r="U83" s="19">
        <f>IF(OR(O83="",T83=""),"",O83/T83)</f>
        <v/>
      </c>
      <c r="V83" s="18">
        <f>IF(T83="","",ROUNDDOWN(T83*(1-설정!$B$3),-2))</f>
        <v/>
      </c>
      <c r="W83" s="17" t="n"/>
      <c r="X83" s="18">
        <f>IF(W83&lt;&gt;"",W83,V83)</f>
        <v/>
      </c>
      <c r="Y83" s="18">
        <f>IF(X83="","",X83*설정!$B$4)</f>
        <v/>
      </c>
      <c r="Z83" s="18">
        <f>IF(OR(X83="",O83=""),"",X83-Y83-O83-설정!$B$7)</f>
        <v/>
      </c>
      <c r="AA83" s="19">
        <f>IF(OR(Z83="",X83=0),"",Z83/X83)</f>
        <v/>
      </c>
      <c r="AB83" s="18">
        <f>IF(OR(T83="",O83=""),"",(T83+설정!$B$10)*(1-설정!$B$5)-O83)</f>
        <v/>
      </c>
      <c r="AC83" s="18">
        <f>IF(OR(T83="",O83=""),"",(T83+설정!$B$10)*(1-설정!$B$6)-O83)</f>
        <v/>
      </c>
      <c r="AD83" s="14">
        <f>IF(B83="","",IF(OR(O83="",T83=""),"가격 입력 필요",IF(Z83&lt;=0,"❌ 제외",IF(AND(P83="도매꾹",N83&gt;1),"⚠️ 최소수량 확인",IF(AND(AA83&gt;=설정!$B$8,Z83&gt;=설정!$B$9),"✅ 판매추천",IF(Z83&gt;0,"⚠️ 마진부족","❌ 제외"))))))</f>
        <v/>
      </c>
      <c r="AE83" s="15" t="n"/>
    </row>
    <row r="84">
      <c r="A84" s="14" t="n">
        <v>80</v>
      </c>
      <c r="B84" s="15" t="n"/>
      <c r="C84" s="15" t="n"/>
      <c r="D84" s="16" t="n"/>
      <c r="E84" s="17" t="n"/>
      <c r="F84" s="17" t="n"/>
      <c r="G84" s="18">
        <f>IF(E84="","",E84+F84)</f>
        <v/>
      </c>
      <c r="H84" s="17" t="n"/>
      <c r="I84" s="17" t="n"/>
      <c r="J84" s="18">
        <f>IF(H84="","",H84+I84)</f>
        <v/>
      </c>
      <c r="K84" s="17" t="n"/>
      <c r="L84" s="17" t="n"/>
      <c r="M84" s="18">
        <f>IF(K84="","",K84+L84)</f>
        <v/>
      </c>
      <c r="N84" s="16" t="n"/>
      <c r="O84" s="18">
        <f>IF(COUNT(G84,J84,M84)=0,"",MIN(G84,J84,M84))</f>
        <v/>
      </c>
      <c r="P84" s="14">
        <f>IF(O84="","",IF(O84=G84,"스페셜오퍼",IF(O84=J84,"도매매","도매꾹")))</f>
        <v/>
      </c>
      <c r="Q84" s="18">
        <f>IF(COUNT(G84,J84,M84)&lt;2,"",MAX(G84,J84,M84)-MIN(G84,J84,M84))</f>
        <v/>
      </c>
      <c r="R84" s="17" t="n"/>
      <c r="S84" s="17" t="n"/>
      <c r="T84" s="18">
        <f>IF(COUNT(R84,S84)=0,"",MIN(R84,S84))</f>
        <v/>
      </c>
      <c r="U84" s="19">
        <f>IF(OR(O84="",T84=""),"",O84/T84)</f>
        <v/>
      </c>
      <c r="V84" s="18">
        <f>IF(T84="","",ROUNDDOWN(T84*(1-설정!$B$3),-2))</f>
        <v/>
      </c>
      <c r="W84" s="17" t="n"/>
      <c r="X84" s="18">
        <f>IF(W84&lt;&gt;"",W84,V84)</f>
        <v/>
      </c>
      <c r="Y84" s="18">
        <f>IF(X84="","",X84*설정!$B$4)</f>
        <v/>
      </c>
      <c r="Z84" s="18">
        <f>IF(OR(X84="",O84=""),"",X84-Y84-O84-설정!$B$7)</f>
        <v/>
      </c>
      <c r="AA84" s="19">
        <f>IF(OR(Z84="",X84=0),"",Z84/X84)</f>
        <v/>
      </c>
      <c r="AB84" s="18">
        <f>IF(OR(T84="",O84=""),"",(T84+설정!$B$10)*(1-설정!$B$5)-O84)</f>
        <v/>
      </c>
      <c r="AC84" s="18">
        <f>IF(OR(T84="",O84=""),"",(T84+설정!$B$10)*(1-설정!$B$6)-O84)</f>
        <v/>
      </c>
      <c r="AD84" s="14">
        <f>IF(B84="","",IF(OR(O84="",T84=""),"가격 입력 필요",IF(Z84&lt;=0,"❌ 제외",IF(AND(P84="도매꾹",N84&gt;1),"⚠️ 최소수량 확인",IF(AND(AA84&gt;=설정!$B$8,Z84&gt;=설정!$B$9),"✅ 판매추천",IF(Z84&gt;0,"⚠️ 마진부족","❌ 제외"))))))</f>
        <v/>
      </c>
      <c r="AE84" s="15" t="n"/>
    </row>
    <row r="85">
      <c r="A85" s="14" t="n">
        <v>81</v>
      </c>
      <c r="B85" s="15" t="n"/>
      <c r="C85" s="15" t="n"/>
      <c r="D85" s="16" t="n"/>
      <c r="E85" s="17" t="n"/>
      <c r="F85" s="17" t="n"/>
      <c r="G85" s="18">
        <f>IF(E85="","",E85+F85)</f>
        <v/>
      </c>
      <c r="H85" s="17" t="n"/>
      <c r="I85" s="17" t="n"/>
      <c r="J85" s="18">
        <f>IF(H85="","",H85+I85)</f>
        <v/>
      </c>
      <c r="K85" s="17" t="n"/>
      <c r="L85" s="17" t="n"/>
      <c r="M85" s="18">
        <f>IF(K85="","",K85+L85)</f>
        <v/>
      </c>
      <c r="N85" s="16" t="n"/>
      <c r="O85" s="18">
        <f>IF(COUNT(G85,J85,M85)=0,"",MIN(G85,J85,M85))</f>
        <v/>
      </c>
      <c r="P85" s="14">
        <f>IF(O85="","",IF(O85=G85,"스페셜오퍼",IF(O85=J85,"도매매","도매꾹")))</f>
        <v/>
      </c>
      <c r="Q85" s="18">
        <f>IF(COUNT(G85,J85,M85)&lt;2,"",MAX(G85,J85,M85)-MIN(G85,J85,M85))</f>
        <v/>
      </c>
      <c r="R85" s="17" t="n"/>
      <c r="S85" s="17" t="n"/>
      <c r="T85" s="18">
        <f>IF(COUNT(R85,S85)=0,"",MIN(R85,S85))</f>
        <v/>
      </c>
      <c r="U85" s="19">
        <f>IF(OR(O85="",T85=""),"",O85/T85)</f>
        <v/>
      </c>
      <c r="V85" s="18">
        <f>IF(T85="","",ROUNDDOWN(T85*(1-설정!$B$3),-2))</f>
        <v/>
      </c>
      <c r="W85" s="17" t="n"/>
      <c r="X85" s="18">
        <f>IF(W85&lt;&gt;"",W85,V85)</f>
        <v/>
      </c>
      <c r="Y85" s="18">
        <f>IF(X85="","",X85*설정!$B$4)</f>
        <v/>
      </c>
      <c r="Z85" s="18">
        <f>IF(OR(X85="",O85=""),"",X85-Y85-O85-설정!$B$7)</f>
        <v/>
      </c>
      <c r="AA85" s="19">
        <f>IF(OR(Z85="",X85=0),"",Z85/X85)</f>
        <v/>
      </c>
      <c r="AB85" s="18">
        <f>IF(OR(T85="",O85=""),"",(T85+설정!$B$10)*(1-설정!$B$5)-O85)</f>
        <v/>
      </c>
      <c r="AC85" s="18">
        <f>IF(OR(T85="",O85=""),"",(T85+설정!$B$10)*(1-설정!$B$6)-O85)</f>
        <v/>
      </c>
      <c r="AD85" s="14">
        <f>IF(B85="","",IF(OR(O85="",T85=""),"가격 입력 필요",IF(Z85&lt;=0,"❌ 제외",IF(AND(P85="도매꾹",N85&gt;1),"⚠️ 최소수량 확인",IF(AND(AA85&gt;=설정!$B$8,Z85&gt;=설정!$B$9),"✅ 판매추천",IF(Z85&gt;0,"⚠️ 마진부족","❌ 제외"))))))</f>
        <v/>
      </c>
      <c r="AE85" s="15" t="n"/>
    </row>
    <row r="86">
      <c r="A86" s="14" t="n">
        <v>82</v>
      </c>
      <c r="B86" s="15" t="n"/>
      <c r="C86" s="15" t="n"/>
      <c r="D86" s="16" t="n"/>
      <c r="E86" s="17" t="n"/>
      <c r="F86" s="17" t="n"/>
      <c r="G86" s="18">
        <f>IF(E86="","",E86+F86)</f>
        <v/>
      </c>
      <c r="H86" s="17" t="n"/>
      <c r="I86" s="17" t="n"/>
      <c r="J86" s="18">
        <f>IF(H86="","",H86+I86)</f>
        <v/>
      </c>
      <c r="K86" s="17" t="n"/>
      <c r="L86" s="17" t="n"/>
      <c r="M86" s="18">
        <f>IF(K86="","",K86+L86)</f>
        <v/>
      </c>
      <c r="N86" s="16" t="n"/>
      <c r="O86" s="18">
        <f>IF(COUNT(G86,J86,M86)=0,"",MIN(G86,J86,M86))</f>
        <v/>
      </c>
      <c r="P86" s="14">
        <f>IF(O86="","",IF(O86=G86,"스페셜오퍼",IF(O86=J86,"도매매","도매꾹")))</f>
        <v/>
      </c>
      <c r="Q86" s="18">
        <f>IF(COUNT(G86,J86,M86)&lt;2,"",MAX(G86,J86,M86)-MIN(G86,J86,M86))</f>
        <v/>
      </c>
      <c r="R86" s="17" t="n"/>
      <c r="S86" s="17" t="n"/>
      <c r="T86" s="18">
        <f>IF(COUNT(R86,S86)=0,"",MIN(R86,S86))</f>
        <v/>
      </c>
      <c r="U86" s="19">
        <f>IF(OR(O86="",T86=""),"",O86/T86)</f>
        <v/>
      </c>
      <c r="V86" s="18">
        <f>IF(T86="","",ROUNDDOWN(T86*(1-설정!$B$3),-2))</f>
        <v/>
      </c>
      <c r="W86" s="17" t="n"/>
      <c r="X86" s="18">
        <f>IF(W86&lt;&gt;"",W86,V86)</f>
        <v/>
      </c>
      <c r="Y86" s="18">
        <f>IF(X86="","",X86*설정!$B$4)</f>
        <v/>
      </c>
      <c r="Z86" s="18">
        <f>IF(OR(X86="",O86=""),"",X86-Y86-O86-설정!$B$7)</f>
        <v/>
      </c>
      <c r="AA86" s="19">
        <f>IF(OR(Z86="",X86=0),"",Z86/X86)</f>
        <v/>
      </c>
      <c r="AB86" s="18">
        <f>IF(OR(T86="",O86=""),"",(T86+설정!$B$10)*(1-설정!$B$5)-O86)</f>
        <v/>
      </c>
      <c r="AC86" s="18">
        <f>IF(OR(T86="",O86=""),"",(T86+설정!$B$10)*(1-설정!$B$6)-O86)</f>
        <v/>
      </c>
      <c r="AD86" s="14">
        <f>IF(B86="","",IF(OR(O86="",T86=""),"가격 입력 필요",IF(Z86&lt;=0,"❌ 제외",IF(AND(P86="도매꾹",N86&gt;1),"⚠️ 최소수량 확인",IF(AND(AA86&gt;=설정!$B$8,Z86&gt;=설정!$B$9),"✅ 판매추천",IF(Z86&gt;0,"⚠️ 마진부족","❌ 제외"))))))</f>
        <v/>
      </c>
      <c r="AE86" s="15" t="n"/>
    </row>
    <row r="87">
      <c r="A87" s="14" t="n">
        <v>83</v>
      </c>
      <c r="B87" s="15" t="n"/>
      <c r="C87" s="15" t="n"/>
      <c r="D87" s="16" t="n"/>
      <c r="E87" s="17" t="n"/>
      <c r="F87" s="17" t="n"/>
      <c r="G87" s="18">
        <f>IF(E87="","",E87+F87)</f>
        <v/>
      </c>
      <c r="H87" s="17" t="n"/>
      <c r="I87" s="17" t="n"/>
      <c r="J87" s="18">
        <f>IF(H87="","",H87+I87)</f>
        <v/>
      </c>
      <c r="K87" s="17" t="n"/>
      <c r="L87" s="17" t="n"/>
      <c r="M87" s="18">
        <f>IF(K87="","",K87+L87)</f>
        <v/>
      </c>
      <c r="N87" s="16" t="n"/>
      <c r="O87" s="18">
        <f>IF(COUNT(G87,J87,M87)=0,"",MIN(G87,J87,M87))</f>
        <v/>
      </c>
      <c r="P87" s="14">
        <f>IF(O87="","",IF(O87=G87,"스페셜오퍼",IF(O87=J87,"도매매","도매꾹")))</f>
        <v/>
      </c>
      <c r="Q87" s="18">
        <f>IF(COUNT(G87,J87,M87)&lt;2,"",MAX(G87,J87,M87)-MIN(G87,J87,M87))</f>
        <v/>
      </c>
      <c r="R87" s="17" t="n"/>
      <c r="S87" s="17" t="n"/>
      <c r="T87" s="18">
        <f>IF(COUNT(R87,S87)=0,"",MIN(R87,S87))</f>
        <v/>
      </c>
      <c r="U87" s="19">
        <f>IF(OR(O87="",T87=""),"",O87/T87)</f>
        <v/>
      </c>
      <c r="V87" s="18">
        <f>IF(T87="","",ROUNDDOWN(T87*(1-설정!$B$3),-2))</f>
        <v/>
      </c>
      <c r="W87" s="17" t="n"/>
      <c r="X87" s="18">
        <f>IF(W87&lt;&gt;"",W87,V87)</f>
        <v/>
      </c>
      <c r="Y87" s="18">
        <f>IF(X87="","",X87*설정!$B$4)</f>
        <v/>
      </c>
      <c r="Z87" s="18">
        <f>IF(OR(X87="",O87=""),"",X87-Y87-O87-설정!$B$7)</f>
        <v/>
      </c>
      <c r="AA87" s="19">
        <f>IF(OR(Z87="",X87=0),"",Z87/X87)</f>
        <v/>
      </c>
      <c r="AB87" s="18">
        <f>IF(OR(T87="",O87=""),"",(T87+설정!$B$10)*(1-설정!$B$5)-O87)</f>
        <v/>
      </c>
      <c r="AC87" s="18">
        <f>IF(OR(T87="",O87=""),"",(T87+설정!$B$10)*(1-설정!$B$6)-O87)</f>
        <v/>
      </c>
      <c r="AD87" s="14">
        <f>IF(B87="","",IF(OR(O87="",T87=""),"가격 입력 필요",IF(Z87&lt;=0,"❌ 제외",IF(AND(P87="도매꾹",N87&gt;1),"⚠️ 최소수량 확인",IF(AND(AA87&gt;=설정!$B$8,Z87&gt;=설정!$B$9),"✅ 판매추천",IF(Z87&gt;0,"⚠️ 마진부족","❌ 제외"))))))</f>
        <v/>
      </c>
      <c r="AE87" s="15" t="n"/>
    </row>
    <row r="88">
      <c r="A88" s="14" t="n">
        <v>84</v>
      </c>
      <c r="B88" s="15" t="n"/>
      <c r="C88" s="15" t="n"/>
      <c r="D88" s="16" t="n"/>
      <c r="E88" s="17" t="n"/>
      <c r="F88" s="17" t="n"/>
      <c r="G88" s="18">
        <f>IF(E88="","",E88+F88)</f>
        <v/>
      </c>
      <c r="H88" s="17" t="n"/>
      <c r="I88" s="17" t="n"/>
      <c r="J88" s="18">
        <f>IF(H88="","",H88+I88)</f>
        <v/>
      </c>
      <c r="K88" s="17" t="n"/>
      <c r="L88" s="17" t="n"/>
      <c r="M88" s="18">
        <f>IF(K88="","",K88+L88)</f>
        <v/>
      </c>
      <c r="N88" s="16" t="n"/>
      <c r="O88" s="18">
        <f>IF(COUNT(G88,J88,M88)=0,"",MIN(G88,J88,M88))</f>
        <v/>
      </c>
      <c r="P88" s="14">
        <f>IF(O88="","",IF(O88=G88,"스페셜오퍼",IF(O88=J88,"도매매","도매꾹")))</f>
        <v/>
      </c>
      <c r="Q88" s="18">
        <f>IF(COUNT(G88,J88,M88)&lt;2,"",MAX(G88,J88,M88)-MIN(G88,J88,M88))</f>
        <v/>
      </c>
      <c r="R88" s="17" t="n"/>
      <c r="S88" s="17" t="n"/>
      <c r="T88" s="18">
        <f>IF(COUNT(R88,S88)=0,"",MIN(R88,S88))</f>
        <v/>
      </c>
      <c r="U88" s="19">
        <f>IF(OR(O88="",T88=""),"",O88/T88)</f>
        <v/>
      </c>
      <c r="V88" s="18">
        <f>IF(T88="","",ROUNDDOWN(T88*(1-설정!$B$3),-2))</f>
        <v/>
      </c>
      <c r="W88" s="17" t="n"/>
      <c r="X88" s="18">
        <f>IF(W88&lt;&gt;"",W88,V88)</f>
        <v/>
      </c>
      <c r="Y88" s="18">
        <f>IF(X88="","",X88*설정!$B$4)</f>
        <v/>
      </c>
      <c r="Z88" s="18">
        <f>IF(OR(X88="",O88=""),"",X88-Y88-O88-설정!$B$7)</f>
        <v/>
      </c>
      <c r="AA88" s="19">
        <f>IF(OR(Z88="",X88=0),"",Z88/X88)</f>
        <v/>
      </c>
      <c r="AB88" s="18">
        <f>IF(OR(T88="",O88=""),"",(T88+설정!$B$10)*(1-설정!$B$5)-O88)</f>
        <v/>
      </c>
      <c r="AC88" s="18">
        <f>IF(OR(T88="",O88=""),"",(T88+설정!$B$10)*(1-설정!$B$6)-O88)</f>
        <v/>
      </c>
      <c r="AD88" s="14">
        <f>IF(B88="","",IF(OR(O88="",T88=""),"가격 입력 필요",IF(Z88&lt;=0,"❌ 제외",IF(AND(P88="도매꾹",N88&gt;1),"⚠️ 최소수량 확인",IF(AND(AA88&gt;=설정!$B$8,Z88&gt;=설정!$B$9),"✅ 판매추천",IF(Z88&gt;0,"⚠️ 마진부족","❌ 제외"))))))</f>
        <v/>
      </c>
      <c r="AE88" s="15" t="n"/>
    </row>
    <row r="89">
      <c r="A89" s="14" t="n">
        <v>85</v>
      </c>
      <c r="B89" s="15" t="n"/>
      <c r="C89" s="15" t="n"/>
      <c r="D89" s="16" t="n"/>
      <c r="E89" s="17" t="n"/>
      <c r="F89" s="17" t="n"/>
      <c r="G89" s="18">
        <f>IF(E89="","",E89+F89)</f>
        <v/>
      </c>
      <c r="H89" s="17" t="n"/>
      <c r="I89" s="17" t="n"/>
      <c r="J89" s="18">
        <f>IF(H89="","",H89+I89)</f>
        <v/>
      </c>
      <c r="K89" s="17" t="n"/>
      <c r="L89" s="17" t="n"/>
      <c r="M89" s="18">
        <f>IF(K89="","",K89+L89)</f>
        <v/>
      </c>
      <c r="N89" s="16" t="n"/>
      <c r="O89" s="18">
        <f>IF(COUNT(G89,J89,M89)=0,"",MIN(G89,J89,M89))</f>
        <v/>
      </c>
      <c r="P89" s="14">
        <f>IF(O89="","",IF(O89=G89,"스페셜오퍼",IF(O89=J89,"도매매","도매꾹")))</f>
        <v/>
      </c>
      <c r="Q89" s="18">
        <f>IF(COUNT(G89,J89,M89)&lt;2,"",MAX(G89,J89,M89)-MIN(G89,J89,M89))</f>
        <v/>
      </c>
      <c r="R89" s="17" t="n"/>
      <c r="S89" s="17" t="n"/>
      <c r="T89" s="18">
        <f>IF(COUNT(R89,S89)=0,"",MIN(R89,S89))</f>
        <v/>
      </c>
      <c r="U89" s="19">
        <f>IF(OR(O89="",T89=""),"",O89/T89)</f>
        <v/>
      </c>
      <c r="V89" s="18">
        <f>IF(T89="","",ROUNDDOWN(T89*(1-설정!$B$3),-2))</f>
        <v/>
      </c>
      <c r="W89" s="17" t="n"/>
      <c r="X89" s="18">
        <f>IF(W89&lt;&gt;"",W89,V89)</f>
        <v/>
      </c>
      <c r="Y89" s="18">
        <f>IF(X89="","",X89*설정!$B$4)</f>
        <v/>
      </c>
      <c r="Z89" s="18">
        <f>IF(OR(X89="",O89=""),"",X89-Y89-O89-설정!$B$7)</f>
        <v/>
      </c>
      <c r="AA89" s="19">
        <f>IF(OR(Z89="",X89=0),"",Z89/X89)</f>
        <v/>
      </c>
      <c r="AB89" s="18">
        <f>IF(OR(T89="",O89=""),"",(T89+설정!$B$10)*(1-설정!$B$5)-O89)</f>
        <v/>
      </c>
      <c r="AC89" s="18">
        <f>IF(OR(T89="",O89=""),"",(T89+설정!$B$10)*(1-설정!$B$6)-O89)</f>
        <v/>
      </c>
      <c r="AD89" s="14">
        <f>IF(B89="","",IF(OR(O89="",T89=""),"가격 입력 필요",IF(Z89&lt;=0,"❌ 제외",IF(AND(P89="도매꾹",N89&gt;1),"⚠️ 최소수량 확인",IF(AND(AA89&gt;=설정!$B$8,Z89&gt;=설정!$B$9),"✅ 판매추천",IF(Z89&gt;0,"⚠️ 마진부족","❌ 제외"))))))</f>
        <v/>
      </c>
      <c r="AE89" s="15" t="n"/>
    </row>
    <row r="90">
      <c r="A90" s="14" t="n">
        <v>86</v>
      </c>
      <c r="B90" s="15" t="n"/>
      <c r="C90" s="15" t="n"/>
      <c r="D90" s="16" t="n"/>
      <c r="E90" s="17" t="n"/>
      <c r="F90" s="17" t="n"/>
      <c r="G90" s="18">
        <f>IF(E90="","",E90+F90)</f>
        <v/>
      </c>
      <c r="H90" s="17" t="n"/>
      <c r="I90" s="17" t="n"/>
      <c r="J90" s="18">
        <f>IF(H90="","",H90+I90)</f>
        <v/>
      </c>
      <c r="K90" s="17" t="n"/>
      <c r="L90" s="17" t="n"/>
      <c r="M90" s="18">
        <f>IF(K90="","",K90+L90)</f>
        <v/>
      </c>
      <c r="N90" s="16" t="n"/>
      <c r="O90" s="18">
        <f>IF(COUNT(G90,J90,M90)=0,"",MIN(G90,J90,M90))</f>
        <v/>
      </c>
      <c r="P90" s="14">
        <f>IF(O90="","",IF(O90=G90,"스페셜오퍼",IF(O90=J90,"도매매","도매꾹")))</f>
        <v/>
      </c>
      <c r="Q90" s="18">
        <f>IF(COUNT(G90,J90,M90)&lt;2,"",MAX(G90,J90,M90)-MIN(G90,J90,M90))</f>
        <v/>
      </c>
      <c r="R90" s="17" t="n"/>
      <c r="S90" s="17" t="n"/>
      <c r="T90" s="18">
        <f>IF(COUNT(R90,S90)=0,"",MIN(R90,S90))</f>
        <v/>
      </c>
      <c r="U90" s="19">
        <f>IF(OR(O90="",T90=""),"",O90/T90)</f>
        <v/>
      </c>
      <c r="V90" s="18">
        <f>IF(T90="","",ROUNDDOWN(T90*(1-설정!$B$3),-2))</f>
        <v/>
      </c>
      <c r="W90" s="17" t="n"/>
      <c r="X90" s="18">
        <f>IF(W90&lt;&gt;"",W90,V90)</f>
        <v/>
      </c>
      <c r="Y90" s="18">
        <f>IF(X90="","",X90*설정!$B$4)</f>
        <v/>
      </c>
      <c r="Z90" s="18">
        <f>IF(OR(X90="",O90=""),"",X90-Y90-O90-설정!$B$7)</f>
        <v/>
      </c>
      <c r="AA90" s="19">
        <f>IF(OR(Z90="",X90=0),"",Z90/X90)</f>
        <v/>
      </c>
      <c r="AB90" s="18">
        <f>IF(OR(T90="",O90=""),"",(T90+설정!$B$10)*(1-설정!$B$5)-O90)</f>
        <v/>
      </c>
      <c r="AC90" s="18">
        <f>IF(OR(T90="",O90=""),"",(T90+설정!$B$10)*(1-설정!$B$6)-O90)</f>
        <v/>
      </c>
      <c r="AD90" s="14">
        <f>IF(B90="","",IF(OR(O90="",T90=""),"가격 입력 필요",IF(Z90&lt;=0,"❌ 제외",IF(AND(P90="도매꾹",N90&gt;1),"⚠️ 최소수량 확인",IF(AND(AA90&gt;=설정!$B$8,Z90&gt;=설정!$B$9),"✅ 판매추천",IF(Z90&gt;0,"⚠️ 마진부족","❌ 제외"))))))</f>
        <v/>
      </c>
      <c r="AE90" s="15" t="n"/>
    </row>
    <row r="91">
      <c r="A91" s="14" t="n">
        <v>87</v>
      </c>
      <c r="B91" s="15" t="n"/>
      <c r="C91" s="15" t="n"/>
      <c r="D91" s="16" t="n"/>
      <c r="E91" s="17" t="n"/>
      <c r="F91" s="17" t="n"/>
      <c r="G91" s="18">
        <f>IF(E91="","",E91+F91)</f>
        <v/>
      </c>
      <c r="H91" s="17" t="n"/>
      <c r="I91" s="17" t="n"/>
      <c r="J91" s="18">
        <f>IF(H91="","",H91+I91)</f>
        <v/>
      </c>
      <c r="K91" s="17" t="n"/>
      <c r="L91" s="17" t="n"/>
      <c r="M91" s="18">
        <f>IF(K91="","",K91+L91)</f>
        <v/>
      </c>
      <c r="N91" s="16" t="n"/>
      <c r="O91" s="18">
        <f>IF(COUNT(G91,J91,M91)=0,"",MIN(G91,J91,M91))</f>
        <v/>
      </c>
      <c r="P91" s="14">
        <f>IF(O91="","",IF(O91=G91,"스페셜오퍼",IF(O91=J91,"도매매","도매꾹")))</f>
        <v/>
      </c>
      <c r="Q91" s="18">
        <f>IF(COUNT(G91,J91,M91)&lt;2,"",MAX(G91,J91,M91)-MIN(G91,J91,M91))</f>
        <v/>
      </c>
      <c r="R91" s="17" t="n"/>
      <c r="S91" s="17" t="n"/>
      <c r="T91" s="18">
        <f>IF(COUNT(R91,S91)=0,"",MIN(R91,S91))</f>
        <v/>
      </c>
      <c r="U91" s="19">
        <f>IF(OR(O91="",T91=""),"",O91/T91)</f>
        <v/>
      </c>
      <c r="V91" s="18">
        <f>IF(T91="","",ROUNDDOWN(T91*(1-설정!$B$3),-2))</f>
        <v/>
      </c>
      <c r="W91" s="17" t="n"/>
      <c r="X91" s="18">
        <f>IF(W91&lt;&gt;"",W91,V91)</f>
        <v/>
      </c>
      <c r="Y91" s="18">
        <f>IF(X91="","",X91*설정!$B$4)</f>
        <v/>
      </c>
      <c r="Z91" s="18">
        <f>IF(OR(X91="",O91=""),"",X91-Y91-O91-설정!$B$7)</f>
        <v/>
      </c>
      <c r="AA91" s="19">
        <f>IF(OR(Z91="",X91=0),"",Z91/X91)</f>
        <v/>
      </c>
      <c r="AB91" s="18">
        <f>IF(OR(T91="",O91=""),"",(T91+설정!$B$10)*(1-설정!$B$5)-O91)</f>
        <v/>
      </c>
      <c r="AC91" s="18">
        <f>IF(OR(T91="",O91=""),"",(T91+설정!$B$10)*(1-설정!$B$6)-O91)</f>
        <v/>
      </c>
      <c r="AD91" s="14">
        <f>IF(B91="","",IF(OR(O91="",T91=""),"가격 입력 필요",IF(Z91&lt;=0,"❌ 제외",IF(AND(P91="도매꾹",N91&gt;1),"⚠️ 최소수량 확인",IF(AND(AA91&gt;=설정!$B$8,Z91&gt;=설정!$B$9),"✅ 판매추천",IF(Z91&gt;0,"⚠️ 마진부족","❌ 제외"))))))</f>
        <v/>
      </c>
      <c r="AE91" s="15" t="n"/>
    </row>
    <row r="92">
      <c r="A92" s="14" t="n">
        <v>88</v>
      </c>
      <c r="B92" s="15" t="n"/>
      <c r="C92" s="15" t="n"/>
      <c r="D92" s="16" t="n"/>
      <c r="E92" s="17" t="n"/>
      <c r="F92" s="17" t="n"/>
      <c r="G92" s="18">
        <f>IF(E92="","",E92+F92)</f>
        <v/>
      </c>
      <c r="H92" s="17" t="n"/>
      <c r="I92" s="17" t="n"/>
      <c r="J92" s="18">
        <f>IF(H92="","",H92+I92)</f>
        <v/>
      </c>
      <c r="K92" s="17" t="n"/>
      <c r="L92" s="17" t="n"/>
      <c r="M92" s="18">
        <f>IF(K92="","",K92+L92)</f>
        <v/>
      </c>
      <c r="N92" s="16" t="n"/>
      <c r="O92" s="18">
        <f>IF(COUNT(G92,J92,M92)=0,"",MIN(G92,J92,M92))</f>
        <v/>
      </c>
      <c r="P92" s="14">
        <f>IF(O92="","",IF(O92=G92,"스페셜오퍼",IF(O92=J92,"도매매","도매꾹")))</f>
        <v/>
      </c>
      <c r="Q92" s="18">
        <f>IF(COUNT(G92,J92,M92)&lt;2,"",MAX(G92,J92,M92)-MIN(G92,J92,M92))</f>
        <v/>
      </c>
      <c r="R92" s="17" t="n"/>
      <c r="S92" s="17" t="n"/>
      <c r="T92" s="18">
        <f>IF(COUNT(R92,S92)=0,"",MIN(R92,S92))</f>
        <v/>
      </c>
      <c r="U92" s="19">
        <f>IF(OR(O92="",T92=""),"",O92/T92)</f>
        <v/>
      </c>
      <c r="V92" s="18">
        <f>IF(T92="","",ROUNDDOWN(T92*(1-설정!$B$3),-2))</f>
        <v/>
      </c>
      <c r="W92" s="17" t="n"/>
      <c r="X92" s="18">
        <f>IF(W92&lt;&gt;"",W92,V92)</f>
        <v/>
      </c>
      <c r="Y92" s="18">
        <f>IF(X92="","",X92*설정!$B$4)</f>
        <v/>
      </c>
      <c r="Z92" s="18">
        <f>IF(OR(X92="",O92=""),"",X92-Y92-O92-설정!$B$7)</f>
        <v/>
      </c>
      <c r="AA92" s="19">
        <f>IF(OR(Z92="",X92=0),"",Z92/X92)</f>
        <v/>
      </c>
      <c r="AB92" s="18">
        <f>IF(OR(T92="",O92=""),"",(T92+설정!$B$10)*(1-설정!$B$5)-O92)</f>
        <v/>
      </c>
      <c r="AC92" s="18">
        <f>IF(OR(T92="",O92=""),"",(T92+설정!$B$10)*(1-설정!$B$6)-O92)</f>
        <v/>
      </c>
      <c r="AD92" s="14">
        <f>IF(B92="","",IF(OR(O92="",T92=""),"가격 입력 필요",IF(Z92&lt;=0,"❌ 제외",IF(AND(P92="도매꾹",N92&gt;1),"⚠️ 최소수량 확인",IF(AND(AA92&gt;=설정!$B$8,Z92&gt;=설정!$B$9),"✅ 판매추천",IF(Z92&gt;0,"⚠️ 마진부족","❌ 제외"))))))</f>
        <v/>
      </c>
      <c r="AE92" s="15" t="n"/>
    </row>
    <row r="93">
      <c r="A93" s="14" t="n">
        <v>89</v>
      </c>
      <c r="B93" s="15" t="n"/>
      <c r="C93" s="15" t="n"/>
      <c r="D93" s="16" t="n"/>
      <c r="E93" s="17" t="n"/>
      <c r="F93" s="17" t="n"/>
      <c r="G93" s="18">
        <f>IF(E93="","",E93+F93)</f>
        <v/>
      </c>
      <c r="H93" s="17" t="n"/>
      <c r="I93" s="17" t="n"/>
      <c r="J93" s="18">
        <f>IF(H93="","",H93+I93)</f>
        <v/>
      </c>
      <c r="K93" s="17" t="n"/>
      <c r="L93" s="17" t="n"/>
      <c r="M93" s="18">
        <f>IF(K93="","",K93+L93)</f>
        <v/>
      </c>
      <c r="N93" s="16" t="n"/>
      <c r="O93" s="18">
        <f>IF(COUNT(G93,J93,M93)=0,"",MIN(G93,J93,M93))</f>
        <v/>
      </c>
      <c r="P93" s="14">
        <f>IF(O93="","",IF(O93=G93,"스페셜오퍼",IF(O93=J93,"도매매","도매꾹")))</f>
        <v/>
      </c>
      <c r="Q93" s="18">
        <f>IF(COUNT(G93,J93,M93)&lt;2,"",MAX(G93,J93,M93)-MIN(G93,J93,M93))</f>
        <v/>
      </c>
      <c r="R93" s="17" t="n"/>
      <c r="S93" s="17" t="n"/>
      <c r="T93" s="18">
        <f>IF(COUNT(R93,S93)=0,"",MIN(R93,S93))</f>
        <v/>
      </c>
      <c r="U93" s="19">
        <f>IF(OR(O93="",T93=""),"",O93/T93)</f>
        <v/>
      </c>
      <c r="V93" s="18">
        <f>IF(T93="","",ROUNDDOWN(T93*(1-설정!$B$3),-2))</f>
        <v/>
      </c>
      <c r="W93" s="17" t="n"/>
      <c r="X93" s="18">
        <f>IF(W93&lt;&gt;"",W93,V93)</f>
        <v/>
      </c>
      <c r="Y93" s="18">
        <f>IF(X93="","",X93*설정!$B$4)</f>
        <v/>
      </c>
      <c r="Z93" s="18">
        <f>IF(OR(X93="",O93=""),"",X93-Y93-O93-설정!$B$7)</f>
        <v/>
      </c>
      <c r="AA93" s="19">
        <f>IF(OR(Z93="",X93=0),"",Z93/X93)</f>
        <v/>
      </c>
      <c r="AB93" s="18">
        <f>IF(OR(T93="",O93=""),"",(T93+설정!$B$10)*(1-설정!$B$5)-O93)</f>
        <v/>
      </c>
      <c r="AC93" s="18">
        <f>IF(OR(T93="",O93=""),"",(T93+설정!$B$10)*(1-설정!$B$6)-O93)</f>
        <v/>
      </c>
      <c r="AD93" s="14">
        <f>IF(B93="","",IF(OR(O93="",T93=""),"가격 입력 필요",IF(Z93&lt;=0,"❌ 제외",IF(AND(P93="도매꾹",N93&gt;1),"⚠️ 최소수량 확인",IF(AND(AA93&gt;=설정!$B$8,Z93&gt;=설정!$B$9),"✅ 판매추천",IF(Z93&gt;0,"⚠️ 마진부족","❌ 제외"))))))</f>
        <v/>
      </c>
      <c r="AE93" s="15" t="n"/>
    </row>
    <row r="94">
      <c r="A94" s="14" t="n">
        <v>90</v>
      </c>
      <c r="B94" s="15" t="n"/>
      <c r="C94" s="15" t="n"/>
      <c r="D94" s="16" t="n"/>
      <c r="E94" s="17" t="n"/>
      <c r="F94" s="17" t="n"/>
      <c r="G94" s="18">
        <f>IF(E94="","",E94+F94)</f>
        <v/>
      </c>
      <c r="H94" s="17" t="n"/>
      <c r="I94" s="17" t="n"/>
      <c r="J94" s="18">
        <f>IF(H94="","",H94+I94)</f>
        <v/>
      </c>
      <c r="K94" s="17" t="n"/>
      <c r="L94" s="17" t="n"/>
      <c r="M94" s="18">
        <f>IF(K94="","",K94+L94)</f>
        <v/>
      </c>
      <c r="N94" s="16" t="n"/>
      <c r="O94" s="18">
        <f>IF(COUNT(G94,J94,M94)=0,"",MIN(G94,J94,M94))</f>
        <v/>
      </c>
      <c r="P94" s="14">
        <f>IF(O94="","",IF(O94=G94,"스페셜오퍼",IF(O94=J94,"도매매","도매꾹")))</f>
        <v/>
      </c>
      <c r="Q94" s="18">
        <f>IF(COUNT(G94,J94,M94)&lt;2,"",MAX(G94,J94,M94)-MIN(G94,J94,M94))</f>
        <v/>
      </c>
      <c r="R94" s="17" t="n"/>
      <c r="S94" s="17" t="n"/>
      <c r="T94" s="18">
        <f>IF(COUNT(R94,S94)=0,"",MIN(R94,S94))</f>
        <v/>
      </c>
      <c r="U94" s="19">
        <f>IF(OR(O94="",T94=""),"",O94/T94)</f>
        <v/>
      </c>
      <c r="V94" s="18">
        <f>IF(T94="","",ROUNDDOWN(T94*(1-설정!$B$3),-2))</f>
        <v/>
      </c>
      <c r="W94" s="17" t="n"/>
      <c r="X94" s="18">
        <f>IF(W94&lt;&gt;"",W94,V94)</f>
        <v/>
      </c>
      <c r="Y94" s="18">
        <f>IF(X94="","",X94*설정!$B$4)</f>
        <v/>
      </c>
      <c r="Z94" s="18">
        <f>IF(OR(X94="",O94=""),"",X94-Y94-O94-설정!$B$7)</f>
        <v/>
      </c>
      <c r="AA94" s="19">
        <f>IF(OR(Z94="",X94=0),"",Z94/X94)</f>
        <v/>
      </c>
      <c r="AB94" s="18">
        <f>IF(OR(T94="",O94=""),"",(T94+설정!$B$10)*(1-설정!$B$5)-O94)</f>
        <v/>
      </c>
      <c r="AC94" s="18">
        <f>IF(OR(T94="",O94=""),"",(T94+설정!$B$10)*(1-설정!$B$6)-O94)</f>
        <v/>
      </c>
      <c r="AD94" s="14">
        <f>IF(B94="","",IF(OR(O94="",T94=""),"가격 입력 필요",IF(Z94&lt;=0,"❌ 제외",IF(AND(P94="도매꾹",N94&gt;1),"⚠️ 최소수량 확인",IF(AND(AA94&gt;=설정!$B$8,Z94&gt;=설정!$B$9),"✅ 판매추천",IF(Z94&gt;0,"⚠️ 마진부족","❌ 제외"))))))</f>
        <v/>
      </c>
      <c r="AE94" s="15" t="n"/>
    </row>
    <row r="95">
      <c r="A95" s="14" t="n">
        <v>91</v>
      </c>
      <c r="B95" s="15" t="n"/>
      <c r="C95" s="15" t="n"/>
      <c r="D95" s="16" t="n"/>
      <c r="E95" s="17" t="n"/>
      <c r="F95" s="17" t="n"/>
      <c r="G95" s="18">
        <f>IF(E95="","",E95+F95)</f>
        <v/>
      </c>
      <c r="H95" s="17" t="n"/>
      <c r="I95" s="17" t="n"/>
      <c r="J95" s="18">
        <f>IF(H95="","",H95+I95)</f>
        <v/>
      </c>
      <c r="K95" s="17" t="n"/>
      <c r="L95" s="17" t="n"/>
      <c r="M95" s="18">
        <f>IF(K95="","",K95+L95)</f>
        <v/>
      </c>
      <c r="N95" s="16" t="n"/>
      <c r="O95" s="18">
        <f>IF(COUNT(G95,J95,M95)=0,"",MIN(G95,J95,M95))</f>
        <v/>
      </c>
      <c r="P95" s="14">
        <f>IF(O95="","",IF(O95=G95,"스페셜오퍼",IF(O95=J95,"도매매","도매꾹")))</f>
        <v/>
      </c>
      <c r="Q95" s="18">
        <f>IF(COUNT(G95,J95,M95)&lt;2,"",MAX(G95,J95,M95)-MIN(G95,J95,M95))</f>
        <v/>
      </c>
      <c r="R95" s="17" t="n"/>
      <c r="S95" s="17" t="n"/>
      <c r="T95" s="18">
        <f>IF(COUNT(R95,S95)=0,"",MIN(R95,S95))</f>
        <v/>
      </c>
      <c r="U95" s="19">
        <f>IF(OR(O95="",T95=""),"",O95/T95)</f>
        <v/>
      </c>
      <c r="V95" s="18">
        <f>IF(T95="","",ROUNDDOWN(T95*(1-설정!$B$3),-2))</f>
        <v/>
      </c>
      <c r="W95" s="17" t="n"/>
      <c r="X95" s="18">
        <f>IF(W95&lt;&gt;"",W95,V95)</f>
        <v/>
      </c>
      <c r="Y95" s="18">
        <f>IF(X95="","",X95*설정!$B$4)</f>
        <v/>
      </c>
      <c r="Z95" s="18">
        <f>IF(OR(X95="",O95=""),"",X95-Y95-O95-설정!$B$7)</f>
        <v/>
      </c>
      <c r="AA95" s="19">
        <f>IF(OR(Z95="",X95=0),"",Z95/X95)</f>
        <v/>
      </c>
      <c r="AB95" s="18">
        <f>IF(OR(T95="",O95=""),"",(T95+설정!$B$10)*(1-설정!$B$5)-O95)</f>
        <v/>
      </c>
      <c r="AC95" s="18">
        <f>IF(OR(T95="",O95=""),"",(T95+설정!$B$10)*(1-설정!$B$6)-O95)</f>
        <v/>
      </c>
      <c r="AD95" s="14">
        <f>IF(B95="","",IF(OR(O95="",T95=""),"가격 입력 필요",IF(Z95&lt;=0,"❌ 제외",IF(AND(P95="도매꾹",N95&gt;1),"⚠️ 최소수량 확인",IF(AND(AA95&gt;=설정!$B$8,Z95&gt;=설정!$B$9),"✅ 판매추천",IF(Z95&gt;0,"⚠️ 마진부족","❌ 제외"))))))</f>
        <v/>
      </c>
      <c r="AE95" s="15" t="n"/>
    </row>
    <row r="96">
      <c r="A96" s="14" t="n">
        <v>92</v>
      </c>
      <c r="B96" s="15" t="n"/>
      <c r="C96" s="15" t="n"/>
      <c r="D96" s="16" t="n"/>
      <c r="E96" s="17" t="n"/>
      <c r="F96" s="17" t="n"/>
      <c r="G96" s="18">
        <f>IF(E96="","",E96+F96)</f>
        <v/>
      </c>
      <c r="H96" s="17" t="n"/>
      <c r="I96" s="17" t="n"/>
      <c r="J96" s="18">
        <f>IF(H96="","",H96+I96)</f>
        <v/>
      </c>
      <c r="K96" s="17" t="n"/>
      <c r="L96" s="17" t="n"/>
      <c r="M96" s="18">
        <f>IF(K96="","",K96+L96)</f>
        <v/>
      </c>
      <c r="N96" s="16" t="n"/>
      <c r="O96" s="18">
        <f>IF(COUNT(G96,J96,M96)=0,"",MIN(G96,J96,M96))</f>
        <v/>
      </c>
      <c r="P96" s="14">
        <f>IF(O96="","",IF(O96=G96,"스페셜오퍼",IF(O96=J96,"도매매","도매꾹")))</f>
        <v/>
      </c>
      <c r="Q96" s="18">
        <f>IF(COUNT(G96,J96,M96)&lt;2,"",MAX(G96,J96,M96)-MIN(G96,J96,M96))</f>
        <v/>
      </c>
      <c r="R96" s="17" t="n"/>
      <c r="S96" s="17" t="n"/>
      <c r="T96" s="18">
        <f>IF(COUNT(R96,S96)=0,"",MIN(R96,S96))</f>
        <v/>
      </c>
      <c r="U96" s="19">
        <f>IF(OR(O96="",T96=""),"",O96/T96)</f>
        <v/>
      </c>
      <c r="V96" s="18">
        <f>IF(T96="","",ROUNDDOWN(T96*(1-설정!$B$3),-2))</f>
        <v/>
      </c>
      <c r="W96" s="17" t="n"/>
      <c r="X96" s="18">
        <f>IF(W96&lt;&gt;"",W96,V96)</f>
        <v/>
      </c>
      <c r="Y96" s="18">
        <f>IF(X96="","",X96*설정!$B$4)</f>
        <v/>
      </c>
      <c r="Z96" s="18">
        <f>IF(OR(X96="",O96=""),"",X96-Y96-O96-설정!$B$7)</f>
        <v/>
      </c>
      <c r="AA96" s="19">
        <f>IF(OR(Z96="",X96=0),"",Z96/X96)</f>
        <v/>
      </c>
      <c r="AB96" s="18">
        <f>IF(OR(T96="",O96=""),"",(T96+설정!$B$10)*(1-설정!$B$5)-O96)</f>
        <v/>
      </c>
      <c r="AC96" s="18">
        <f>IF(OR(T96="",O96=""),"",(T96+설정!$B$10)*(1-설정!$B$6)-O96)</f>
        <v/>
      </c>
      <c r="AD96" s="14">
        <f>IF(B96="","",IF(OR(O96="",T96=""),"가격 입력 필요",IF(Z96&lt;=0,"❌ 제외",IF(AND(P96="도매꾹",N96&gt;1),"⚠️ 최소수량 확인",IF(AND(AA96&gt;=설정!$B$8,Z96&gt;=설정!$B$9),"✅ 판매추천",IF(Z96&gt;0,"⚠️ 마진부족","❌ 제외"))))))</f>
        <v/>
      </c>
      <c r="AE96" s="15" t="n"/>
    </row>
    <row r="97">
      <c r="A97" s="14" t="n">
        <v>93</v>
      </c>
      <c r="B97" s="15" t="n"/>
      <c r="C97" s="15" t="n"/>
      <c r="D97" s="16" t="n"/>
      <c r="E97" s="17" t="n"/>
      <c r="F97" s="17" t="n"/>
      <c r="G97" s="18">
        <f>IF(E97="","",E97+F97)</f>
        <v/>
      </c>
      <c r="H97" s="17" t="n"/>
      <c r="I97" s="17" t="n"/>
      <c r="J97" s="18">
        <f>IF(H97="","",H97+I97)</f>
        <v/>
      </c>
      <c r="K97" s="17" t="n"/>
      <c r="L97" s="17" t="n"/>
      <c r="M97" s="18">
        <f>IF(K97="","",K97+L97)</f>
        <v/>
      </c>
      <c r="N97" s="16" t="n"/>
      <c r="O97" s="18">
        <f>IF(COUNT(G97,J97,M97)=0,"",MIN(G97,J97,M97))</f>
        <v/>
      </c>
      <c r="P97" s="14">
        <f>IF(O97="","",IF(O97=G97,"스페셜오퍼",IF(O97=J97,"도매매","도매꾹")))</f>
        <v/>
      </c>
      <c r="Q97" s="18">
        <f>IF(COUNT(G97,J97,M97)&lt;2,"",MAX(G97,J97,M97)-MIN(G97,J97,M97))</f>
        <v/>
      </c>
      <c r="R97" s="17" t="n"/>
      <c r="S97" s="17" t="n"/>
      <c r="T97" s="18">
        <f>IF(COUNT(R97,S97)=0,"",MIN(R97,S97))</f>
        <v/>
      </c>
      <c r="U97" s="19">
        <f>IF(OR(O97="",T97=""),"",O97/T97)</f>
        <v/>
      </c>
      <c r="V97" s="18">
        <f>IF(T97="","",ROUNDDOWN(T97*(1-설정!$B$3),-2))</f>
        <v/>
      </c>
      <c r="W97" s="17" t="n"/>
      <c r="X97" s="18">
        <f>IF(W97&lt;&gt;"",W97,V97)</f>
        <v/>
      </c>
      <c r="Y97" s="18">
        <f>IF(X97="","",X97*설정!$B$4)</f>
        <v/>
      </c>
      <c r="Z97" s="18">
        <f>IF(OR(X97="",O97=""),"",X97-Y97-O97-설정!$B$7)</f>
        <v/>
      </c>
      <c r="AA97" s="19">
        <f>IF(OR(Z97="",X97=0),"",Z97/X97)</f>
        <v/>
      </c>
      <c r="AB97" s="18">
        <f>IF(OR(T97="",O97=""),"",(T97+설정!$B$10)*(1-설정!$B$5)-O97)</f>
        <v/>
      </c>
      <c r="AC97" s="18">
        <f>IF(OR(T97="",O97=""),"",(T97+설정!$B$10)*(1-설정!$B$6)-O97)</f>
        <v/>
      </c>
      <c r="AD97" s="14">
        <f>IF(B97="","",IF(OR(O97="",T97=""),"가격 입력 필요",IF(Z97&lt;=0,"❌ 제외",IF(AND(P97="도매꾹",N97&gt;1),"⚠️ 최소수량 확인",IF(AND(AA97&gt;=설정!$B$8,Z97&gt;=설정!$B$9),"✅ 판매추천",IF(Z97&gt;0,"⚠️ 마진부족","❌ 제외"))))))</f>
        <v/>
      </c>
      <c r="AE97" s="15" t="n"/>
    </row>
    <row r="98">
      <c r="A98" s="14" t="n">
        <v>94</v>
      </c>
      <c r="B98" s="15" t="n"/>
      <c r="C98" s="15" t="n"/>
      <c r="D98" s="16" t="n"/>
      <c r="E98" s="17" t="n"/>
      <c r="F98" s="17" t="n"/>
      <c r="G98" s="18">
        <f>IF(E98="","",E98+F98)</f>
        <v/>
      </c>
      <c r="H98" s="17" t="n"/>
      <c r="I98" s="17" t="n"/>
      <c r="J98" s="18">
        <f>IF(H98="","",H98+I98)</f>
        <v/>
      </c>
      <c r="K98" s="17" t="n"/>
      <c r="L98" s="17" t="n"/>
      <c r="M98" s="18">
        <f>IF(K98="","",K98+L98)</f>
        <v/>
      </c>
      <c r="N98" s="16" t="n"/>
      <c r="O98" s="18">
        <f>IF(COUNT(G98,J98,M98)=0,"",MIN(G98,J98,M98))</f>
        <v/>
      </c>
      <c r="P98" s="14">
        <f>IF(O98="","",IF(O98=G98,"스페셜오퍼",IF(O98=J98,"도매매","도매꾹")))</f>
        <v/>
      </c>
      <c r="Q98" s="18">
        <f>IF(COUNT(G98,J98,M98)&lt;2,"",MAX(G98,J98,M98)-MIN(G98,J98,M98))</f>
        <v/>
      </c>
      <c r="R98" s="17" t="n"/>
      <c r="S98" s="17" t="n"/>
      <c r="T98" s="18">
        <f>IF(COUNT(R98,S98)=0,"",MIN(R98,S98))</f>
        <v/>
      </c>
      <c r="U98" s="19">
        <f>IF(OR(O98="",T98=""),"",O98/T98)</f>
        <v/>
      </c>
      <c r="V98" s="18">
        <f>IF(T98="","",ROUNDDOWN(T98*(1-설정!$B$3),-2))</f>
        <v/>
      </c>
      <c r="W98" s="17" t="n"/>
      <c r="X98" s="18">
        <f>IF(W98&lt;&gt;"",W98,V98)</f>
        <v/>
      </c>
      <c r="Y98" s="18">
        <f>IF(X98="","",X98*설정!$B$4)</f>
        <v/>
      </c>
      <c r="Z98" s="18">
        <f>IF(OR(X98="",O98=""),"",X98-Y98-O98-설정!$B$7)</f>
        <v/>
      </c>
      <c r="AA98" s="19">
        <f>IF(OR(Z98="",X98=0),"",Z98/X98)</f>
        <v/>
      </c>
      <c r="AB98" s="18">
        <f>IF(OR(T98="",O98=""),"",(T98+설정!$B$10)*(1-설정!$B$5)-O98)</f>
        <v/>
      </c>
      <c r="AC98" s="18">
        <f>IF(OR(T98="",O98=""),"",(T98+설정!$B$10)*(1-설정!$B$6)-O98)</f>
        <v/>
      </c>
      <c r="AD98" s="14">
        <f>IF(B98="","",IF(OR(O98="",T98=""),"가격 입력 필요",IF(Z98&lt;=0,"❌ 제외",IF(AND(P98="도매꾹",N98&gt;1),"⚠️ 최소수량 확인",IF(AND(AA98&gt;=설정!$B$8,Z98&gt;=설정!$B$9),"✅ 판매추천",IF(Z98&gt;0,"⚠️ 마진부족","❌ 제외"))))))</f>
        <v/>
      </c>
      <c r="AE98" s="15" t="n"/>
    </row>
    <row r="99">
      <c r="A99" s="14" t="n">
        <v>95</v>
      </c>
      <c r="B99" s="15" t="n"/>
      <c r="C99" s="15" t="n"/>
      <c r="D99" s="16" t="n"/>
      <c r="E99" s="17" t="n"/>
      <c r="F99" s="17" t="n"/>
      <c r="G99" s="18">
        <f>IF(E99="","",E99+F99)</f>
        <v/>
      </c>
      <c r="H99" s="17" t="n"/>
      <c r="I99" s="17" t="n"/>
      <c r="J99" s="18">
        <f>IF(H99="","",H99+I99)</f>
        <v/>
      </c>
      <c r="K99" s="17" t="n"/>
      <c r="L99" s="17" t="n"/>
      <c r="M99" s="18">
        <f>IF(K99="","",K99+L99)</f>
        <v/>
      </c>
      <c r="N99" s="16" t="n"/>
      <c r="O99" s="18">
        <f>IF(COUNT(G99,J99,M99)=0,"",MIN(G99,J99,M99))</f>
        <v/>
      </c>
      <c r="P99" s="14">
        <f>IF(O99="","",IF(O99=G99,"스페셜오퍼",IF(O99=J99,"도매매","도매꾹")))</f>
        <v/>
      </c>
      <c r="Q99" s="18">
        <f>IF(COUNT(G99,J99,M99)&lt;2,"",MAX(G99,J99,M99)-MIN(G99,J99,M99))</f>
        <v/>
      </c>
      <c r="R99" s="17" t="n"/>
      <c r="S99" s="17" t="n"/>
      <c r="T99" s="18">
        <f>IF(COUNT(R99,S99)=0,"",MIN(R99,S99))</f>
        <v/>
      </c>
      <c r="U99" s="19">
        <f>IF(OR(O99="",T99=""),"",O99/T99)</f>
        <v/>
      </c>
      <c r="V99" s="18">
        <f>IF(T99="","",ROUNDDOWN(T99*(1-설정!$B$3),-2))</f>
        <v/>
      </c>
      <c r="W99" s="17" t="n"/>
      <c r="X99" s="18">
        <f>IF(W99&lt;&gt;"",W99,V99)</f>
        <v/>
      </c>
      <c r="Y99" s="18">
        <f>IF(X99="","",X99*설정!$B$4)</f>
        <v/>
      </c>
      <c r="Z99" s="18">
        <f>IF(OR(X99="",O99=""),"",X99-Y99-O99-설정!$B$7)</f>
        <v/>
      </c>
      <c r="AA99" s="19">
        <f>IF(OR(Z99="",X99=0),"",Z99/X99)</f>
        <v/>
      </c>
      <c r="AB99" s="18">
        <f>IF(OR(T99="",O99=""),"",(T99+설정!$B$10)*(1-설정!$B$5)-O99)</f>
        <v/>
      </c>
      <c r="AC99" s="18">
        <f>IF(OR(T99="",O99=""),"",(T99+설정!$B$10)*(1-설정!$B$6)-O99)</f>
        <v/>
      </c>
      <c r="AD99" s="14">
        <f>IF(B99="","",IF(OR(O99="",T99=""),"가격 입력 필요",IF(Z99&lt;=0,"❌ 제외",IF(AND(P99="도매꾹",N99&gt;1),"⚠️ 최소수량 확인",IF(AND(AA99&gt;=설정!$B$8,Z99&gt;=설정!$B$9),"✅ 판매추천",IF(Z99&gt;0,"⚠️ 마진부족","❌ 제외"))))))</f>
        <v/>
      </c>
      <c r="AE99" s="15" t="n"/>
    </row>
    <row r="100">
      <c r="A100" s="14" t="n">
        <v>96</v>
      </c>
      <c r="B100" s="15" t="n"/>
      <c r="C100" s="15" t="n"/>
      <c r="D100" s="16" t="n"/>
      <c r="E100" s="17" t="n"/>
      <c r="F100" s="17" t="n"/>
      <c r="G100" s="18">
        <f>IF(E100="","",E100+F100)</f>
        <v/>
      </c>
      <c r="H100" s="17" t="n"/>
      <c r="I100" s="17" t="n"/>
      <c r="J100" s="18">
        <f>IF(H100="","",H100+I100)</f>
        <v/>
      </c>
      <c r="K100" s="17" t="n"/>
      <c r="L100" s="17" t="n"/>
      <c r="M100" s="18">
        <f>IF(K100="","",K100+L100)</f>
        <v/>
      </c>
      <c r="N100" s="16" t="n"/>
      <c r="O100" s="18">
        <f>IF(COUNT(G100,J100,M100)=0,"",MIN(G100,J100,M100))</f>
        <v/>
      </c>
      <c r="P100" s="14">
        <f>IF(O100="","",IF(O100=G100,"스페셜오퍼",IF(O100=J100,"도매매","도매꾹")))</f>
        <v/>
      </c>
      <c r="Q100" s="18">
        <f>IF(COUNT(G100,J100,M100)&lt;2,"",MAX(G100,J100,M100)-MIN(G100,J100,M100))</f>
        <v/>
      </c>
      <c r="R100" s="17" t="n"/>
      <c r="S100" s="17" t="n"/>
      <c r="T100" s="18">
        <f>IF(COUNT(R100,S100)=0,"",MIN(R100,S100))</f>
        <v/>
      </c>
      <c r="U100" s="19">
        <f>IF(OR(O100="",T100=""),"",O100/T100)</f>
        <v/>
      </c>
      <c r="V100" s="18">
        <f>IF(T100="","",ROUNDDOWN(T100*(1-설정!$B$3),-2))</f>
        <v/>
      </c>
      <c r="W100" s="17" t="n"/>
      <c r="X100" s="18">
        <f>IF(W100&lt;&gt;"",W100,V100)</f>
        <v/>
      </c>
      <c r="Y100" s="18">
        <f>IF(X100="","",X100*설정!$B$4)</f>
        <v/>
      </c>
      <c r="Z100" s="18">
        <f>IF(OR(X100="",O100=""),"",X100-Y100-O100-설정!$B$7)</f>
        <v/>
      </c>
      <c r="AA100" s="19">
        <f>IF(OR(Z100="",X100=0),"",Z100/X100)</f>
        <v/>
      </c>
      <c r="AB100" s="18">
        <f>IF(OR(T100="",O100=""),"",(T100+설정!$B$10)*(1-설정!$B$5)-O100)</f>
        <v/>
      </c>
      <c r="AC100" s="18">
        <f>IF(OR(T100="",O100=""),"",(T100+설정!$B$10)*(1-설정!$B$6)-O100)</f>
        <v/>
      </c>
      <c r="AD100" s="14">
        <f>IF(B100="","",IF(OR(O100="",T100=""),"가격 입력 필요",IF(Z100&lt;=0,"❌ 제외",IF(AND(P100="도매꾹",N100&gt;1),"⚠️ 최소수량 확인",IF(AND(AA100&gt;=설정!$B$8,Z100&gt;=설정!$B$9),"✅ 판매추천",IF(Z100&gt;0,"⚠️ 마진부족","❌ 제외"))))))</f>
        <v/>
      </c>
      <c r="AE100" s="15" t="n"/>
    </row>
    <row r="101">
      <c r="A101" s="14" t="n">
        <v>97</v>
      </c>
      <c r="B101" s="15" t="n"/>
      <c r="C101" s="15" t="n"/>
      <c r="D101" s="16" t="n"/>
      <c r="E101" s="17" t="n"/>
      <c r="F101" s="17" t="n"/>
      <c r="G101" s="18">
        <f>IF(E101="","",E101+F101)</f>
        <v/>
      </c>
      <c r="H101" s="17" t="n"/>
      <c r="I101" s="17" t="n"/>
      <c r="J101" s="18">
        <f>IF(H101="","",H101+I101)</f>
        <v/>
      </c>
      <c r="K101" s="17" t="n"/>
      <c r="L101" s="17" t="n"/>
      <c r="M101" s="18">
        <f>IF(K101="","",K101+L101)</f>
        <v/>
      </c>
      <c r="N101" s="16" t="n"/>
      <c r="O101" s="18">
        <f>IF(COUNT(G101,J101,M101)=0,"",MIN(G101,J101,M101))</f>
        <v/>
      </c>
      <c r="P101" s="14">
        <f>IF(O101="","",IF(O101=G101,"스페셜오퍼",IF(O101=J101,"도매매","도매꾹")))</f>
        <v/>
      </c>
      <c r="Q101" s="18">
        <f>IF(COUNT(G101,J101,M101)&lt;2,"",MAX(G101,J101,M101)-MIN(G101,J101,M101))</f>
        <v/>
      </c>
      <c r="R101" s="17" t="n"/>
      <c r="S101" s="17" t="n"/>
      <c r="T101" s="18">
        <f>IF(COUNT(R101,S101)=0,"",MIN(R101,S101))</f>
        <v/>
      </c>
      <c r="U101" s="19">
        <f>IF(OR(O101="",T101=""),"",O101/T101)</f>
        <v/>
      </c>
      <c r="V101" s="18">
        <f>IF(T101="","",ROUNDDOWN(T101*(1-설정!$B$3),-2))</f>
        <v/>
      </c>
      <c r="W101" s="17" t="n"/>
      <c r="X101" s="18">
        <f>IF(W101&lt;&gt;"",W101,V101)</f>
        <v/>
      </c>
      <c r="Y101" s="18">
        <f>IF(X101="","",X101*설정!$B$4)</f>
        <v/>
      </c>
      <c r="Z101" s="18">
        <f>IF(OR(X101="",O101=""),"",X101-Y101-O101-설정!$B$7)</f>
        <v/>
      </c>
      <c r="AA101" s="19">
        <f>IF(OR(Z101="",X101=0),"",Z101/X101)</f>
        <v/>
      </c>
      <c r="AB101" s="18">
        <f>IF(OR(T101="",O101=""),"",(T101+설정!$B$10)*(1-설정!$B$5)-O101)</f>
        <v/>
      </c>
      <c r="AC101" s="18">
        <f>IF(OR(T101="",O101=""),"",(T101+설정!$B$10)*(1-설정!$B$6)-O101)</f>
        <v/>
      </c>
      <c r="AD101" s="14">
        <f>IF(B101="","",IF(OR(O101="",T101=""),"가격 입력 필요",IF(Z101&lt;=0,"❌ 제외",IF(AND(P101="도매꾹",N101&gt;1),"⚠️ 최소수량 확인",IF(AND(AA101&gt;=설정!$B$8,Z101&gt;=설정!$B$9),"✅ 판매추천",IF(Z101&gt;0,"⚠️ 마진부족","❌ 제외"))))))</f>
        <v/>
      </c>
      <c r="AE101" s="15" t="n"/>
    </row>
    <row r="102">
      <c r="A102" s="14" t="n">
        <v>98</v>
      </c>
      <c r="B102" s="15" t="n"/>
      <c r="C102" s="15" t="n"/>
      <c r="D102" s="16" t="n"/>
      <c r="E102" s="17" t="n"/>
      <c r="F102" s="17" t="n"/>
      <c r="G102" s="18">
        <f>IF(E102="","",E102+F102)</f>
        <v/>
      </c>
      <c r="H102" s="17" t="n"/>
      <c r="I102" s="17" t="n"/>
      <c r="J102" s="18">
        <f>IF(H102="","",H102+I102)</f>
        <v/>
      </c>
      <c r="K102" s="17" t="n"/>
      <c r="L102" s="17" t="n"/>
      <c r="M102" s="18">
        <f>IF(K102="","",K102+L102)</f>
        <v/>
      </c>
      <c r="N102" s="16" t="n"/>
      <c r="O102" s="18">
        <f>IF(COUNT(G102,J102,M102)=0,"",MIN(G102,J102,M102))</f>
        <v/>
      </c>
      <c r="P102" s="14">
        <f>IF(O102="","",IF(O102=G102,"스페셜오퍼",IF(O102=J102,"도매매","도매꾹")))</f>
        <v/>
      </c>
      <c r="Q102" s="18">
        <f>IF(COUNT(G102,J102,M102)&lt;2,"",MAX(G102,J102,M102)-MIN(G102,J102,M102))</f>
        <v/>
      </c>
      <c r="R102" s="17" t="n"/>
      <c r="S102" s="17" t="n"/>
      <c r="T102" s="18">
        <f>IF(COUNT(R102,S102)=0,"",MIN(R102,S102))</f>
        <v/>
      </c>
      <c r="U102" s="19">
        <f>IF(OR(O102="",T102=""),"",O102/T102)</f>
        <v/>
      </c>
      <c r="V102" s="18">
        <f>IF(T102="","",ROUNDDOWN(T102*(1-설정!$B$3),-2))</f>
        <v/>
      </c>
      <c r="W102" s="17" t="n"/>
      <c r="X102" s="18">
        <f>IF(W102&lt;&gt;"",W102,V102)</f>
        <v/>
      </c>
      <c r="Y102" s="18">
        <f>IF(X102="","",X102*설정!$B$4)</f>
        <v/>
      </c>
      <c r="Z102" s="18">
        <f>IF(OR(X102="",O102=""),"",X102-Y102-O102-설정!$B$7)</f>
        <v/>
      </c>
      <c r="AA102" s="19">
        <f>IF(OR(Z102="",X102=0),"",Z102/X102)</f>
        <v/>
      </c>
      <c r="AB102" s="18">
        <f>IF(OR(T102="",O102=""),"",(T102+설정!$B$10)*(1-설정!$B$5)-O102)</f>
        <v/>
      </c>
      <c r="AC102" s="18">
        <f>IF(OR(T102="",O102=""),"",(T102+설정!$B$10)*(1-설정!$B$6)-O102)</f>
        <v/>
      </c>
      <c r="AD102" s="14">
        <f>IF(B102="","",IF(OR(O102="",T102=""),"가격 입력 필요",IF(Z102&lt;=0,"❌ 제외",IF(AND(P102="도매꾹",N102&gt;1),"⚠️ 최소수량 확인",IF(AND(AA102&gt;=설정!$B$8,Z102&gt;=설정!$B$9),"✅ 판매추천",IF(Z102&gt;0,"⚠️ 마진부족","❌ 제외"))))))</f>
        <v/>
      </c>
      <c r="AE102" s="15" t="n"/>
    </row>
    <row r="103">
      <c r="A103" s="14" t="n">
        <v>99</v>
      </c>
      <c r="B103" s="15" t="n"/>
      <c r="C103" s="15" t="n"/>
      <c r="D103" s="16" t="n"/>
      <c r="E103" s="17" t="n"/>
      <c r="F103" s="17" t="n"/>
      <c r="G103" s="18">
        <f>IF(E103="","",E103+F103)</f>
        <v/>
      </c>
      <c r="H103" s="17" t="n"/>
      <c r="I103" s="17" t="n"/>
      <c r="J103" s="18">
        <f>IF(H103="","",H103+I103)</f>
        <v/>
      </c>
      <c r="K103" s="17" t="n"/>
      <c r="L103" s="17" t="n"/>
      <c r="M103" s="18">
        <f>IF(K103="","",K103+L103)</f>
        <v/>
      </c>
      <c r="N103" s="16" t="n"/>
      <c r="O103" s="18">
        <f>IF(COUNT(G103,J103,M103)=0,"",MIN(G103,J103,M103))</f>
        <v/>
      </c>
      <c r="P103" s="14">
        <f>IF(O103="","",IF(O103=G103,"스페셜오퍼",IF(O103=J103,"도매매","도매꾹")))</f>
        <v/>
      </c>
      <c r="Q103" s="18">
        <f>IF(COUNT(G103,J103,M103)&lt;2,"",MAX(G103,J103,M103)-MIN(G103,J103,M103))</f>
        <v/>
      </c>
      <c r="R103" s="17" t="n"/>
      <c r="S103" s="17" t="n"/>
      <c r="T103" s="18">
        <f>IF(COUNT(R103,S103)=0,"",MIN(R103,S103))</f>
        <v/>
      </c>
      <c r="U103" s="19">
        <f>IF(OR(O103="",T103=""),"",O103/T103)</f>
        <v/>
      </c>
      <c r="V103" s="18">
        <f>IF(T103="","",ROUNDDOWN(T103*(1-설정!$B$3),-2))</f>
        <v/>
      </c>
      <c r="W103" s="17" t="n"/>
      <c r="X103" s="18">
        <f>IF(W103&lt;&gt;"",W103,V103)</f>
        <v/>
      </c>
      <c r="Y103" s="18">
        <f>IF(X103="","",X103*설정!$B$4)</f>
        <v/>
      </c>
      <c r="Z103" s="18">
        <f>IF(OR(X103="",O103=""),"",X103-Y103-O103-설정!$B$7)</f>
        <v/>
      </c>
      <c r="AA103" s="19">
        <f>IF(OR(Z103="",X103=0),"",Z103/X103)</f>
        <v/>
      </c>
      <c r="AB103" s="18">
        <f>IF(OR(T103="",O103=""),"",(T103+설정!$B$10)*(1-설정!$B$5)-O103)</f>
        <v/>
      </c>
      <c r="AC103" s="18">
        <f>IF(OR(T103="",O103=""),"",(T103+설정!$B$10)*(1-설정!$B$6)-O103)</f>
        <v/>
      </c>
      <c r="AD103" s="14">
        <f>IF(B103="","",IF(OR(O103="",T103=""),"가격 입력 필요",IF(Z103&lt;=0,"❌ 제외",IF(AND(P103="도매꾹",N103&gt;1),"⚠️ 최소수량 확인",IF(AND(AA103&gt;=설정!$B$8,Z103&gt;=설정!$B$9),"✅ 판매추천",IF(Z103&gt;0,"⚠️ 마진부족","❌ 제외"))))))</f>
        <v/>
      </c>
      <c r="AE103" s="15" t="n"/>
    </row>
    <row r="104">
      <c r="A104" s="14" t="n">
        <v>100</v>
      </c>
      <c r="B104" s="15" t="n"/>
      <c r="C104" s="15" t="n"/>
      <c r="D104" s="16" t="n"/>
      <c r="E104" s="17" t="n"/>
      <c r="F104" s="17" t="n"/>
      <c r="G104" s="18">
        <f>IF(E104="","",E104+F104)</f>
        <v/>
      </c>
      <c r="H104" s="17" t="n"/>
      <c r="I104" s="17" t="n"/>
      <c r="J104" s="18">
        <f>IF(H104="","",H104+I104)</f>
        <v/>
      </c>
      <c r="K104" s="17" t="n"/>
      <c r="L104" s="17" t="n"/>
      <c r="M104" s="18">
        <f>IF(K104="","",K104+L104)</f>
        <v/>
      </c>
      <c r="N104" s="16" t="n"/>
      <c r="O104" s="18">
        <f>IF(COUNT(G104,J104,M104)=0,"",MIN(G104,J104,M104))</f>
        <v/>
      </c>
      <c r="P104" s="14">
        <f>IF(O104="","",IF(O104=G104,"스페셜오퍼",IF(O104=J104,"도매매","도매꾹")))</f>
        <v/>
      </c>
      <c r="Q104" s="18">
        <f>IF(COUNT(G104,J104,M104)&lt;2,"",MAX(G104,J104,M104)-MIN(G104,J104,M104))</f>
        <v/>
      </c>
      <c r="R104" s="17" t="n"/>
      <c r="S104" s="17" t="n"/>
      <c r="T104" s="18">
        <f>IF(COUNT(R104,S104)=0,"",MIN(R104,S104))</f>
        <v/>
      </c>
      <c r="U104" s="19">
        <f>IF(OR(O104="",T104=""),"",O104/T104)</f>
        <v/>
      </c>
      <c r="V104" s="18">
        <f>IF(T104="","",ROUNDDOWN(T104*(1-설정!$B$3),-2))</f>
        <v/>
      </c>
      <c r="W104" s="17" t="n"/>
      <c r="X104" s="18">
        <f>IF(W104&lt;&gt;"",W104,V104)</f>
        <v/>
      </c>
      <c r="Y104" s="18">
        <f>IF(X104="","",X104*설정!$B$4)</f>
        <v/>
      </c>
      <c r="Z104" s="18">
        <f>IF(OR(X104="",O104=""),"",X104-Y104-O104-설정!$B$7)</f>
        <v/>
      </c>
      <c r="AA104" s="19">
        <f>IF(OR(Z104="",X104=0),"",Z104/X104)</f>
        <v/>
      </c>
      <c r="AB104" s="18">
        <f>IF(OR(T104="",O104=""),"",(T104+설정!$B$10)*(1-설정!$B$5)-O104)</f>
        <v/>
      </c>
      <c r="AC104" s="18">
        <f>IF(OR(T104="",O104=""),"",(T104+설정!$B$10)*(1-설정!$B$6)-O104)</f>
        <v/>
      </c>
      <c r="AD104" s="14">
        <f>IF(B104="","",IF(OR(O104="",T104=""),"가격 입력 필요",IF(Z104&lt;=0,"❌ 제외",IF(AND(P104="도매꾹",N104&gt;1),"⚠️ 최소수량 확인",IF(AND(AA104&gt;=설정!$B$8,Z104&gt;=설정!$B$9),"✅ 판매추천",IF(Z104&gt;0,"⚠️ 마진부족","❌ 제외"))))))</f>
        <v/>
      </c>
      <c r="AE104" s="15" t="n"/>
    </row>
    <row r="105">
      <c r="A105" s="14" t="n">
        <v>101</v>
      </c>
      <c r="B105" s="15" t="n"/>
      <c r="C105" s="15" t="n"/>
      <c r="D105" s="16" t="n"/>
      <c r="E105" s="17" t="n"/>
      <c r="F105" s="17" t="n"/>
      <c r="G105" s="18">
        <f>IF(E105="","",E105+F105)</f>
        <v/>
      </c>
      <c r="H105" s="17" t="n"/>
      <c r="I105" s="17" t="n"/>
      <c r="J105" s="18">
        <f>IF(H105="","",H105+I105)</f>
        <v/>
      </c>
      <c r="K105" s="17" t="n"/>
      <c r="L105" s="17" t="n"/>
      <c r="M105" s="18">
        <f>IF(K105="","",K105+L105)</f>
        <v/>
      </c>
      <c r="N105" s="16" t="n"/>
      <c r="O105" s="18">
        <f>IF(COUNT(G105,J105,M105)=0,"",MIN(G105,J105,M105))</f>
        <v/>
      </c>
      <c r="P105" s="14">
        <f>IF(O105="","",IF(O105=G105,"스페셜오퍼",IF(O105=J105,"도매매","도매꾹")))</f>
        <v/>
      </c>
      <c r="Q105" s="18">
        <f>IF(COUNT(G105,J105,M105)&lt;2,"",MAX(G105,J105,M105)-MIN(G105,J105,M105))</f>
        <v/>
      </c>
      <c r="R105" s="17" t="n"/>
      <c r="S105" s="17" t="n"/>
      <c r="T105" s="18">
        <f>IF(COUNT(R105,S105)=0,"",MIN(R105,S105))</f>
        <v/>
      </c>
      <c r="U105" s="19">
        <f>IF(OR(O105="",T105=""),"",O105/T105)</f>
        <v/>
      </c>
      <c r="V105" s="18">
        <f>IF(T105="","",ROUNDDOWN(T105*(1-설정!$B$3),-2))</f>
        <v/>
      </c>
      <c r="W105" s="17" t="n"/>
      <c r="X105" s="18">
        <f>IF(W105&lt;&gt;"",W105,V105)</f>
        <v/>
      </c>
      <c r="Y105" s="18">
        <f>IF(X105="","",X105*설정!$B$4)</f>
        <v/>
      </c>
      <c r="Z105" s="18">
        <f>IF(OR(X105="",O105=""),"",X105-Y105-O105-설정!$B$7)</f>
        <v/>
      </c>
      <c r="AA105" s="19">
        <f>IF(OR(Z105="",X105=0),"",Z105/X105)</f>
        <v/>
      </c>
      <c r="AB105" s="18">
        <f>IF(OR(T105="",O105=""),"",(T105+설정!$B$10)*(1-설정!$B$5)-O105)</f>
        <v/>
      </c>
      <c r="AC105" s="18">
        <f>IF(OR(T105="",O105=""),"",(T105+설정!$B$10)*(1-설정!$B$6)-O105)</f>
        <v/>
      </c>
      <c r="AD105" s="14">
        <f>IF(B105="","",IF(OR(O105="",T105=""),"가격 입력 필요",IF(Z105&lt;=0,"❌ 제외",IF(AND(P105="도매꾹",N105&gt;1),"⚠️ 최소수량 확인",IF(AND(AA105&gt;=설정!$B$8,Z105&gt;=설정!$B$9),"✅ 판매추천",IF(Z105&gt;0,"⚠️ 마진부족","❌ 제외"))))))</f>
        <v/>
      </c>
      <c r="AE105" s="15" t="n"/>
    </row>
    <row r="106">
      <c r="A106" s="14" t="n">
        <v>102</v>
      </c>
      <c r="B106" s="15" t="n"/>
      <c r="C106" s="15" t="n"/>
      <c r="D106" s="16" t="n"/>
      <c r="E106" s="17" t="n"/>
      <c r="F106" s="17" t="n"/>
      <c r="G106" s="18">
        <f>IF(E106="","",E106+F106)</f>
        <v/>
      </c>
      <c r="H106" s="17" t="n"/>
      <c r="I106" s="17" t="n"/>
      <c r="J106" s="18">
        <f>IF(H106="","",H106+I106)</f>
        <v/>
      </c>
      <c r="K106" s="17" t="n"/>
      <c r="L106" s="17" t="n"/>
      <c r="M106" s="18">
        <f>IF(K106="","",K106+L106)</f>
        <v/>
      </c>
      <c r="N106" s="16" t="n"/>
      <c r="O106" s="18">
        <f>IF(COUNT(G106,J106,M106)=0,"",MIN(G106,J106,M106))</f>
        <v/>
      </c>
      <c r="P106" s="14">
        <f>IF(O106="","",IF(O106=G106,"스페셜오퍼",IF(O106=J106,"도매매","도매꾹")))</f>
        <v/>
      </c>
      <c r="Q106" s="18">
        <f>IF(COUNT(G106,J106,M106)&lt;2,"",MAX(G106,J106,M106)-MIN(G106,J106,M106))</f>
        <v/>
      </c>
      <c r="R106" s="17" t="n"/>
      <c r="S106" s="17" t="n"/>
      <c r="T106" s="18">
        <f>IF(COUNT(R106,S106)=0,"",MIN(R106,S106))</f>
        <v/>
      </c>
      <c r="U106" s="19">
        <f>IF(OR(O106="",T106=""),"",O106/T106)</f>
        <v/>
      </c>
      <c r="V106" s="18">
        <f>IF(T106="","",ROUNDDOWN(T106*(1-설정!$B$3),-2))</f>
        <v/>
      </c>
      <c r="W106" s="17" t="n"/>
      <c r="X106" s="18">
        <f>IF(W106&lt;&gt;"",W106,V106)</f>
        <v/>
      </c>
      <c r="Y106" s="18">
        <f>IF(X106="","",X106*설정!$B$4)</f>
        <v/>
      </c>
      <c r="Z106" s="18">
        <f>IF(OR(X106="",O106=""),"",X106-Y106-O106-설정!$B$7)</f>
        <v/>
      </c>
      <c r="AA106" s="19">
        <f>IF(OR(Z106="",X106=0),"",Z106/X106)</f>
        <v/>
      </c>
      <c r="AB106" s="18">
        <f>IF(OR(T106="",O106=""),"",(T106+설정!$B$10)*(1-설정!$B$5)-O106)</f>
        <v/>
      </c>
      <c r="AC106" s="18">
        <f>IF(OR(T106="",O106=""),"",(T106+설정!$B$10)*(1-설정!$B$6)-O106)</f>
        <v/>
      </c>
      <c r="AD106" s="14">
        <f>IF(B106="","",IF(OR(O106="",T106=""),"가격 입력 필요",IF(Z106&lt;=0,"❌ 제외",IF(AND(P106="도매꾹",N106&gt;1),"⚠️ 최소수량 확인",IF(AND(AA106&gt;=설정!$B$8,Z106&gt;=설정!$B$9),"✅ 판매추천",IF(Z106&gt;0,"⚠️ 마진부족","❌ 제외"))))))</f>
        <v/>
      </c>
      <c r="AE106" s="15" t="n"/>
    </row>
    <row r="107">
      <c r="A107" s="14" t="n">
        <v>103</v>
      </c>
      <c r="B107" s="15" t="n"/>
      <c r="C107" s="15" t="n"/>
      <c r="D107" s="16" t="n"/>
      <c r="E107" s="17" t="n"/>
      <c r="F107" s="17" t="n"/>
      <c r="G107" s="18">
        <f>IF(E107="","",E107+F107)</f>
        <v/>
      </c>
      <c r="H107" s="17" t="n"/>
      <c r="I107" s="17" t="n"/>
      <c r="J107" s="18">
        <f>IF(H107="","",H107+I107)</f>
        <v/>
      </c>
      <c r="K107" s="17" t="n"/>
      <c r="L107" s="17" t="n"/>
      <c r="M107" s="18">
        <f>IF(K107="","",K107+L107)</f>
        <v/>
      </c>
      <c r="N107" s="16" t="n"/>
      <c r="O107" s="18">
        <f>IF(COUNT(G107,J107,M107)=0,"",MIN(G107,J107,M107))</f>
        <v/>
      </c>
      <c r="P107" s="14">
        <f>IF(O107="","",IF(O107=G107,"스페셜오퍼",IF(O107=J107,"도매매","도매꾹")))</f>
        <v/>
      </c>
      <c r="Q107" s="18">
        <f>IF(COUNT(G107,J107,M107)&lt;2,"",MAX(G107,J107,M107)-MIN(G107,J107,M107))</f>
        <v/>
      </c>
      <c r="R107" s="17" t="n"/>
      <c r="S107" s="17" t="n"/>
      <c r="T107" s="18">
        <f>IF(COUNT(R107,S107)=0,"",MIN(R107,S107))</f>
        <v/>
      </c>
      <c r="U107" s="19">
        <f>IF(OR(O107="",T107=""),"",O107/T107)</f>
        <v/>
      </c>
      <c r="V107" s="18">
        <f>IF(T107="","",ROUNDDOWN(T107*(1-설정!$B$3),-2))</f>
        <v/>
      </c>
      <c r="W107" s="17" t="n"/>
      <c r="X107" s="18">
        <f>IF(W107&lt;&gt;"",W107,V107)</f>
        <v/>
      </c>
      <c r="Y107" s="18">
        <f>IF(X107="","",X107*설정!$B$4)</f>
        <v/>
      </c>
      <c r="Z107" s="18">
        <f>IF(OR(X107="",O107=""),"",X107-Y107-O107-설정!$B$7)</f>
        <v/>
      </c>
      <c r="AA107" s="19">
        <f>IF(OR(Z107="",X107=0),"",Z107/X107)</f>
        <v/>
      </c>
      <c r="AB107" s="18">
        <f>IF(OR(T107="",O107=""),"",(T107+설정!$B$10)*(1-설정!$B$5)-O107)</f>
        <v/>
      </c>
      <c r="AC107" s="18">
        <f>IF(OR(T107="",O107=""),"",(T107+설정!$B$10)*(1-설정!$B$6)-O107)</f>
        <v/>
      </c>
      <c r="AD107" s="14">
        <f>IF(B107="","",IF(OR(O107="",T107=""),"가격 입력 필요",IF(Z107&lt;=0,"❌ 제외",IF(AND(P107="도매꾹",N107&gt;1),"⚠️ 최소수량 확인",IF(AND(AA107&gt;=설정!$B$8,Z107&gt;=설정!$B$9),"✅ 판매추천",IF(Z107&gt;0,"⚠️ 마진부족","❌ 제외"))))))</f>
        <v/>
      </c>
      <c r="AE107" s="15" t="n"/>
    </row>
    <row r="108">
      <c r="A108" s="14" t="n">
        <v>104</v>
      </c>
      <c r="B108" s="15" t="n"/>
      <c r="C108" s="15" t="n"/>
      <c r="D108" s="16" t="n"/>
      <c r="E108" s="17" t="n"/>
      <c r="F108" s="17" t="n"/>
      <c r="G108" s="18">
        <f>IF(E108="","",E108+F108)</f>
        <v/>
      </c>
      <c r="H108" s="17" t="n"/>
      <c r="I108" s="17" t="n"/>
      <c r="J108" s="18">
        <f>IF(H108="","",H108+I108)</f>
        <v/>
      </c>
      <c r="K108" s="17" t="n"/>
      <c r="L108" s="17" t="n"/>
      <c r="M108" s="18">
        <f>IF(K108="","",K108+L108)</f>
        <v/>
      </c>
      <c r="N108" s="16" t="n"/>
      <c r="O108" s="18">
        <f>IF(COUNT(G108,J108,M108)=0,"",MIN(G108,J108,M108))</f>
        <v/>
      </c>
      <c r="P108" s="14">
        <f>IF(O108="","",IF(O108=G108,"스페셜오퍼",IF(O108=J108,"도매매","도매꾹")))</f>
        <v/>
      </c>
      <c r="Q108" s="18">
        <f>IF(COUNT(G108,J108,M108)&lt;2,"",MAX(G108,J108,M108)-MIN(G108,J108,M108))</f>
        <v/>
      </c>
      <c r="R108" s="17" t="n"/>
      <c r="S108" s="17" t="n"/>
      <c r="T108" s="18">
        <f>IF(COUNT(R108,S108)=0,"",MIN(R108,S108))</f>
        <v/>
      </c>
      <c r="U108" s="19">
        <f>IF(OR(O108="",T108=""),"",O108/T108)</f>
        <v/>
      </c>
      <c r="V108" s="18">
        <f>IF(T108="","",ROUNDDOWN(T108*(1-설정!$B$3),-2))</f>
        <v/>
      </c>
      <c r="W108" s="17" t="n"/>
      <c r="X108" s="18">
        <f>IF(W108&lt;&gt;"",W108,V108)</f>
        <v/>
      </c>
      <c r="Y108" s="18">
        <f>IF(X108="","",X108*설정!$B$4)</f>
        <v/>
      </c>
      <c r="Z108" s="18">
        <f>IF(OR(X108="",O108=""),"",X108-Y108-O108-설정!$B$7)</f>
        <v/>
      </c>
      <c r="AA108" s="19">
        <f>IF(OR(Z108="",X108=0),"",Z108/X108)</f>
        <v/>
      </c>
      <c r="AB108" s="18">
        <f>IF(OR(T108="",O108=""),"",(T108+설정!$B$10)*(1-설정!$B$5)-O108)</f>
        <v/>
      </c>
      <c r="AC108" s="18">
        <f>IF(OR(T108="",O108=""),"",(T108+설정!$B$10)*(1-설정!$B$6)-O108)</f>
        <v/>
      </c>
      <c r="AD108" s="14">
        <f>IF(B108="","",IF(OR(O108="",T108=""),"가격 입력 필요",IF(Z108&lt;=0,"❌ 제외",IF(AND(P108="도매꾹",N108&gt;1),"⚠️ 최소수량 확인",IF(AND(AA108&gt;=설정!$B$8,Z108&gt;=설정!$B$9),"✅ 판매추천",IF(Z108&gt;0,"⚠️ 마진부족","❌ 제외"))))))</f>
        <v/>
      </c>
      <c r="AE108" s="15" t="n"/>
    </row>
    <row r="109">
      <c r="A109" s="14" t="n">
        <v>105</v>
      </c>
      <c r="B109" s="15" t="n"/>
      <c r="C109" s="15" t="n"/>
      <c r="D109" s="16" t="n"/>
      <c r="E109" s="17" t="n"/>
      <c r="F109" s="17" t="n"/>
      <c r="G109" s="18">
        <f>IF(E109="","",E109+F109)</f>
        <v/>
      </c>
      <c r="H109" s="17" t="n"/>
      <c r="I109" s="17" t="n"/>
      <c r="J109" s="18">
        <f>IF(H109="","",H109+I109)</f>
        <v/>
      </c>
      <c r="K109" s="17" t="n"/>
      <c r="L109" s="17" t="n"/>
      <c r="M109" s="18">
        <f>IF(K109="","",K109+L109)</f>
        <v/>
      </c>
      <c r="N109" s="16" t="n"/>
      <c r="O109" s="18">
        <f>IF(COUNT(G109,J109,M109)=0,"",MIN(G109,J109,M109))</f>
        <v/>
      </c>
      <c r="P109" s="14">
        <f>IF(O109="","",IF(O109=G109,"스페셜오퍼",IF(O109=J109,"도매매","도매꾹")))</f>
        <v/>
      </c>
      <c r="Q109" s="18">
        <f>IF(COUNT(G109,J109,M109)&lt;2,"",MAX(G109,J109,M109)-MIN(G109,J109,M109))</f>
        <v/>
      </c>
      <c r="R109" s="17" t="n"/>
      <c r="S109" s="17" t="n"/>
      <c r="T109" s="18">
        <f>IF(COUNT(R109,S109)=0,"",MIN(R109,S109))</f>
        <v/>
      </c>
      <c r="U109" s="19">
        <f>IF(OR(O109="",T109=""),"",O109/T109)</f>
        <v/>
      </c>
      <c r="V109" s="18">
        <f>IF(T109="","",ROUNDDOWN(T109*(1-설정!$B$3),-2))</f>
        <v/>
      </c>
      <c r="W109" s="17" t="n"/>
      <c r="X109" s="18">
        <f>IF(W109&lt;&gt;"",W109,V109)</f>
        <v/>
      </c>
      <c r="Y109" s="18">
        <f>IF(X109="","",X109*설정!$B$4)</f>
        <v/>
      </c>
      <c r="Z109" s="18">
        <f>IF(OR(X109="",O109=""),"",X109-Y109-O109-설정!$B$7)</f>
        <v/>
      </c>
      <c r="AA109" s="19">
        <f>IF(OR(Z109="",X109=0),"",Z109/X109)</f>
        <v/>
      </c>
      <c r="AB109" s="18">
        <f>IF(OR(T109="",O109=""),"",(T109+설정!$B$10)*(1-설정!$B$5)-O109)</f>
        <v/>
      </c>
      <c r="AC109" s="18">
        <f>IF(OR(T109="",O109=""),"",(T109+설정!$B$10)*(1-설정!$B$6)-O109)</f>
        <v/>
      </c>
      <c r="AD109" s="14">
        <f>IF(B109="","",IF(OR(O109="",T109=""),"가격 입력 필요",IF(Z109&lt;=0,"❌ 제외",IF(AND(P109="도매꾹",N109&gt;1),"⚠️ 최소수량 확인",IF(AND(AA109&gt;=설정!$B$8,Z109&gt;=설정!$B$9),"✅ 판매추천",IF(Z109&gt;0,"⚠️ 마진부족","❌ 제외"))))))</f>
        <v/>
      </c>
      <c r="AE109" s="15" t="n"/>
    </row>
    <row r="110">
      <c r="A110" s="14" t="n">
        <v>106</v>
      </c>
      <c r="B110" s="15" t="n"/>
      <c r="C110" s="15" t="n"/>
      <c r="D110" s="16" t="n"/>
      <c r="E110" s="17" t="n"/>
      <c r="F110" s="17" t="n"/>
      <c r="G110" s="18">
        <f>IF(E110="","",E110+F110)</f>
        <v/>
      </c>
      <c r="H110" s="17" t="n"/>
      <c r="I110" s="17" t="n"/>
      <c r="J110" s="18">
        <f>IF(H110="","",H110+I110)</f>
        <v/>
      </c>
      <c r="K110" s="17" t="n"/>
      <c r="L110" s="17" t="n"/>
      <c r="M110" s="18">
        <f>IF(K110="","",K110+L110)</f>
        <v/>
      </c>
      <c r="N110" s="16" t="n"/>
      <c r="O110" s="18">
        <f>IF(COUNT(G110,J110,M110)=0,"",MIN(G110,J110,M110))</f>
        <v/>
      </c>
      <c r="P110" s="14">
        <f>IF(O110="","",IF(O110=G110,"스페셜오퍼",IF(O110=J110,"도매매","도매꾹")))</f>
        <v/>
      </c>
      <c r="Q110" s="18">
        <f>IF(COUNT(G110,J110,M110)&lt;2,"",MAX(G110,J110,M110)-MIN(G110,J110,M110))</f>
        <v/>
      </c>
      <c r="R110" s="17" t="n"/>
      <c r="S110" s="17" t="n"/>
      <c r="T110" s="18">
        <f>IF(COUNT(R110,S110)=0,"",MIN(R110,S110))</f>
        <v/>
      </c>
      <c r="U110" s="19">
        <f>IF(OR(O110="",T110=""),"",O110/T110)</f>
        <v/>
      </c>
      <c r="V110" s="18">
        <f>IF(T110="","",ROUNDDOWN(T110*(1-설정!$B$3),-2))</f>
        <v/>
      </c>
      <c r="W110" s="17" t="n"/>
      <c r="X110" s="18">
        <f>IF(W110&lt;&gt;"",W110,V110)</f>
        <v/>
      </c>
      <c r="Y110" s="18">
        <f>IF(X110="","",X110*설정!$B$4)</f>
        <v/>
      </c>
      <c r="Z110" s="18">
        <f>IF(OR(X110="",O110=""),"",X110-Y110-O110-설정!$B$7)</f>
        <v/>
      </c>
      <c r="AA110" s="19">
        <f>IF(OR(Z110="",X110=0),"",Z110/X110)</f>
        <v/>
      </c>
      <c r="AB110" s="18">
        <f>IF(OR(T110="",O110=""),"",(T110+설정!$B$10)*(1-설정!$B$5)-O110)</f>
        <v/>
      </c>
      <c r="AC110" s="18">
        <f>IF(OR(T110="",O110=""),"",(T110+설정!$B$10)*(1-설정!$B$6)-O110)</f>
        <v/>
      </c>
      <c r="AD110" s="14">
        <f>IF(B110="","",IF(OR(O110="",T110=""),"가격 입력 필요",IF(Z110&lt;=0,"❌ 제외",IF(AND(P110="도매꾹",N110&gt;1),"⚠️ 최소수량 확인",IF(AND(AA110&gt;=설정!$B$8,Z110&gt;=설정!$B$9),"✅ 판매추천",IF(Z110&gt;0,"⚠️ 마진부족","❌ 제외"))))))</f>
        <v/>
      </c>
      <c r="AE110" s="15" t="n"/>
    </row>
    <row r="111">
      <c r="A111" s="14" t="n">
        <v>107</v>
      </c>
      <c r="B111" s="15" t="n"/>
      <c r="C111" s="15" t="n"/>
      <c r="D111" s="16" t="n"/>
      <c r="E111" s="17" t="n"/>
      <c r="F111" s="17" t="n"/>
      <c r="G111" s="18">
        <f>IF(E111="","",E111+F111)</f>
        <v/>
      </c>
      <c r="H111" s="17" t="n"/>
      <c r="I111" s="17" t="n"/>
      <c r="J111" s="18">
        <f>IF(H111="","",H111+I111)</f>
        <v/>
      </c>
      <c r="K111" s="17" t="n"/>
      <c r="L111" s="17" t="n"/>
      <c r="M111" s="18">
        <f>IF(K111="","",K111+L111)</f>
        <v/>
      </c>
      <c r="N111" s="16" t="n"/>
      <c r="O111" s="18">
        <f>IF(COUNT(G111,J111,M111)=0,"",MIN(G111,J111,M111))</f>
        <v/>
      </c>
      <c r="P111" s="14">
        <f>IF(O111="","",IF(O111=G111,"스페셜오퍼",IF(O111=J111,"도매매","도매꾹")))</f>
        <v/>
      </c>
      <c r="Q111" s="18">
        <f>IF(COUNT(G111,J111,M111)&lt;2,"",MAX(G111,J111,M111)-MIN(G111,J111,M111))</f>
        <v/>
      </c>
      <c r="R111" s="17" t="n"/>
      <c r="S111" s="17" t="n"/>
      <c r="T111" s="18">
        <f>IF(COUNT(R111,S111)=0,"",MIN(R111,S111))</f>
        <v/>
      </c>
      <c r="U111" s="19">
        <f>IF(OR(O111="",T111=""),"",O111/T111)</f>
        <v/>
      </c>
      <c r="V111" s="18">
        <f>IF(T111="","",ROUNDDOWN(T111*(1-설정!$B$3),-2))</f>
        <v/>
      </c>
      <c r="W111" s="17" t="n"/>
      <c r="X111" s="18">
        <f>IF(W111&lt;&gt;"",W111,V111)</f>
        <v/>
      </c>
      <c r="Y111" s="18">
        <f>IF(X111="","",X111*설정!$B$4)</f>
        <v/>
      </c>
      <c r="Z111" s="18">
        <f>IF(OR(X111="",O111=""),"",X111-Y111-O111-설정!$B$7)</f>
        <v/>
      </c>
      <c r="AA111" s="19">
        <f>IF(OR(Z111="",X111=0),"",Z111/X111)</f>
        <v/>
      </c>
      <c r="AB111" s="18">
        <f>IF(OR(T111="",O111=""),"",(T111+설정!$B$10)*(1-설정!$B$5)-O111)</f>
        <v/>
      </c>
      <c r="AC111" s="18">
        <f>IF(OR(T111="",O111=""),"",(T111+설정!$B$10)*(1-설정!$B$6)-O111)</f>
        <v/>
      </c>
      <c r="AD111" s="14">
        <f>IF(B111="","",IF(OR(O111="",T111=""),"가격 입력 필요",IF(Z111&lt;=0,"❌ 제외",IF(AND(P111="도매꾹",N111&gt;1),"⚠️ 최소수량 확인",IF(AND(AA111&gt;=설정!$B$8,Z111&gt;=설정!$B$9),"✅ 판매추천",IF(Z111&gt;0,"⚠️ 마진부족","❌ 제외"))))))</f>
        <v/>
      </c>
      <c r="AE111" s="15" t="n"/>
    </row>
    <row r="112">
      <c r="A112" s="14" t="n">
        <v>108</v>
      </c>
      <c r="B112" s="15" t="n"/>
      <c r="C112" s="15" t="n"/>
      <c r="D112" s="16" t="n"/>
      <c r="E112" s="17" t="n"/>
      <c r="F112" s="17" t="n"/>
      <c r="G112" s="18">
        <f>IF(E112="","",E112+F112)</f>
        <v/>
      </c>
      <c r="H112" s="17" t="n"/>
      <c r="I112" s="17" t="n"/>
      <c r="J112" s="18">
        <f>IF(H112="","",H112+I112)</f>
        <v/>
      </c>
      <c r="K112" s="17" t="n"/>
      <c r="L112" s="17" t="n"/>
      <c r="M112" s="18">
        <f>IF(K112="","",K112+L112)</f>
        <v/>
      </c>
      <c r="N112" s="16" t="n"/>
      <c r="O112" s="18">
        <f>IF(COUNT(G112,J112,M112)=0,"",MIN(G112,J112,M112))</f>
        <v/>
      </c>
      <c r="P112" s="14">
        <f>IF(O112="","",IF(O112=G112,"스페셜오퍼",IF(O112=J112,"도매매","도매꾹")))</f>
        <v/>
      </c>
      <c r="Q112" s="18">
        <f>IF(COUNT(G112,J112,M112)&lt;2,"",MAX(G112,J112,M112)-MIN(G112,J112,M112))</f>
        <v/>
      </c>
      <c r="R112" s="17" t="n"/>
      <c r="S112" s="17" t="n"/>
      <c r="T112" s="18">
        <f>IF(COUNT(R112,S112)=0,"",MIN(R112,S112))</f>
        <v/>
      </c>
      <c r="U112" s="19">
        <f>IF(OR(O112="",T112=""),"",O112/T112)</f>
        <v/>
      </c>
      <c r="V112" s="18">
        <f>IF(T112="","",ROUNDDOWN(T112*(1-설정!$B$3),-2))</f>
        <v/>
      </c>
      <c r="W112" s="17" t="n"/>
      <c r="X112" s="18">
        <f>IF(W112&lt;&gt;"",W112,V112)</f>
        <v/>
      </c>
      <c r="Y112" s="18">
        <f>IF(X112="","",X112*설정!$B$4)</f>
        <v/>
      </c>
      <c r="Z112" s="18">
        <f>IF(OR(X112="",O112=""),"",X112-Y112-O112-설정!$B$7)</f>
        <v/>
      </c>
      <c r="AA112" s="19">
        <f>IF(OR(Z112="",X112=0),"",Z112/X112)</f>
        <v/>
      </c>
      <c r="AB112" s="18">
        <f>IF(OR(T112="",O112=""),"",(T112+설정!$B$10)*(1-설정!$B$5)-O112)</f>
        <v/>
      </c>
      <c r="AC112" s="18">
        <f>IF(OR(T112="",O112=""),"",(T112+설정!$B$10)*(1-설정!$B$6)-O112)</f>
        <v/>
      </c>
      <c r="AD112" s="14">
        <f>IF(B112="","",IF(OR(O112="",T112=""),"가격 입력 필요",IF(Z112&lt;=0,"❌ 제외",IF(AND(P112="도매꾹",N112&gt;1),"⚠️ 최소수량 확인",IF(AND(AA112&gt;=설정!$B$8,Z112&gt;=설정!$B$9),"✅ 판매추천",IF(Z112&gt;0,"⚠️ 마진부족","❌ 제외"))))))</f>
        <v/>
      </c>
      <c r="AE112" s="15" t="n"/>
    </row>
    <row r="113">
      <c r="A113" s="14" t="n">
        <v>109</v>
      </c>
      <c r="B113" s="15" t="n"/>
      <c r="C113" s="15" t="n"/>
      <c r="D113" s="16" t="n"/>
      <c r="E113" s="17" t="n"/>
      <c r="F113" s="17" t="n"/>
      <c r="G113" s="18">
        <f>IF(E113="","",E113+F113)</f>
        <v/>
      </c>
      <c r="H113" s="17" t="n"/>
      <c r="I113" s="17" t="n"/>
      <c r="J113" s="18">
        <f>IF(H113="","",H113+I113)</f>
        <v/>
      </c>
      <c r="K113" s="17" t="n"/>
      <c r="L113" s="17" t="n"/>
      <c r="M113" s="18">
        <f>IF(K113="","",K113+L113)</f>
        <v/>
      </c>
      <c r="N113" s="16" t="n"/>
      <c r="O113" s="18">
        <f>IF(COUNT(G113,J113,M113)=0,"",MIN(G113,J113,M113))</f>
        <v/>
      </c>
      <c r="P113" s="14">
        <f>IF(O113="","",IF(O113=G113,"스페셜오퍼",IF(O113=J113,"도매매","도매꾹")))</f>
        <v/>
      </c>
      <c r="Q113" s="18">
        <f>IF(COUNT(G113,J113,M113)&lt;2,"",MAX(G113,J113,M113)-MIN(G113,J113,M113))</f>
        <v/>
      </c>
      <c r="R113" s="17" t="n"/>
      <c r="S113" s="17" t="n"/>
      <c r="T113" s="18">
        <f>IF(COUNT(R113,S113)=0,"",MIN(R113,S113))</f>
        <v/>
      </c>
      <c r="U113" s="19">
        <f>IF(OR(O113="",T113=""),"",O113/T113)</f>
        <v/>
      </c>
      <c r="V113" s="18">
        <f>IF(T113="","",ROUNDDOWN(T113*(1-설정!$B$3),-2))</f>
        <v/>
      </c>
      <c r="W113" s="17" t="n"/>
      <c r="X113" s="18">
        <f>IF(W113&lt;&gt;"",W113,V113)</f>
        <v/>
      </c>
      <c r="Y113" s="18">
        <f>IF(X113="","",X113*설정!$B$4)</f>
        <v/>
      </c>
      <c r="Z113" s="18">
        <f>IF(OR(X113="",O113=""),"",X113-Y113-O113-설정!$B$7)</f>
        <v/>
      </c>
      <c r="AA113" s="19">
        <f>IF(OR(Z113="",X113=0),"",Z113/X113)</f>
        <v/>
      </c>
      <c r="AB113" s="18">
        <f>IF(OR(T113="",O113=""),"",(T113+설정!$B$10)*(1-설정!$B$5)-O113)</f>
        <v/>
      </c>
      <c r="AC113" s="18">
        <f>IF(OR(T113="",O113=""),"",(T113+설정!$B$10)*(1-설정!$B$6)-O113)</f>
        <v/>
      </c>
      <c r="AD113" s="14">
        <f>IF(B113="","",IF(OR(O113="",T113=""),"가격 입력 필요",IF(Z113&lt;=0,"❌ 제외",IF(AND(P113="도매꾹",N113&gt;1),"⚠️ 최소수량 확인",IF(AND(AA113&gt;=설정!$B$8,Z113&gt;=설정!$B$9),"✅ 판매추천",IF(Z113&gt;0,"⚠️ 마진부족","❌ 제외"))))))</f>
        <v/>
      </c>
      <c r="AE113" s="15" t="n"/>
    </row>
    <row r="114">
      <c r="A114" s="14" t="n">
        <v>110</v>
      </c>
      <c r="B114" s="15" t="n"/>
      <c r="C114" s="15" t="n"/>
      <c r="D114" s="16" t="n"/>
      <c r="E114" s="17" t="n"/>
      <c r="F114" s="17" t="n"/>
      <c r="G114" s="18">
        <f>IF(E114="","",E114+F114)</f>
        <v/>
      </c>
      <c r="H114" s="17" t="n"/>
      <c r="I114" s="17" t="n"/>
      <c r="J114" s="18">
        <f>IF(H114="","",H114+I114)</f>
        <v/>
      </c>
      <c r="K114" s="17" t="n"/>
      <c r="L114" s="17" t="n"/>
      <c r="M114" s="18">
        <f>IF(K114="","",K114+L114)</f>
        <v/>
      </c>
      <c r="N114" s="16" t="n"/>
      <c r="O114" s="18">
        <f>IF(COUNT(G114,J114,M114)=0,"",MIN(G114,J114,M114))</f>
        <v/>
      </c>
      <c r="P114" s="14">
        <f>IF(O114="","",IF(O114=G114,"스페셜오퍼",IF(O114=J114,"도매매","도매꾹")))</f>
        <v/>
      </c>
      <c r="Q114" s="18">
        <f>IF(COUNT(G114,J114,M114)&lt;2,"",MAX(G114,J114,M114)-MIN(G114,J114,M114))</f>
        <v/>
      </c>
      <c r="R114" s="17" t="n"/>
      <c r="S114" s="17" t="n"/>
      <c r="T114" s="18">
        <f>IF(COUNT(R114,S114)=0,"",MIN(R114,S114))</f>
        <v/>
      </c>
      <c r="U114" s="19">
        <f>IF(OR(O114="",T114=""),"",O114/T114)</f>
        <v/>
      </c>
      <c r="V114" s="18">
        <f>IF(T114="","",ROUNDDOWN(T114*(1-설정!$B$3),-2))</f>
        <v/>
      </c>
      <c r="W114" s="17" t="n"/>
      <c r="X114" s="18">
        <f>IF(W114&lt;&gt;"",W114,V114)</f>
        <v/>
      </c>
      <c r="Y114" s="18">
        <f>IF(X114="","",X114*설정!$B$4)</f>
        <v/>
      </c>
      <c r="Z114" s="18">
        <f>IF(OR(X114="",O114=""),"",X114-Y114-O114-설정!$B$7)</f>
        <v/>
      </c>
      <c r="AA114" s="19">
        <f>IF(OR(Z114="",X114=0),"",Z114/X114)</f>
        <v/>
      </c>
      <c r="AB114" s="18">
        <f>IF(OR(T114="",O114=""),"",(T114+설정!$B$10)*(1-설정!$B$5)-O114)</f>
        <v/>
      </c>
      <c r="AC114" s="18">
        <f>IF(OR(T114="",O114=""),"",(T114+설정!$B$10)*(1-설정!$B$6)-O114)</f>
        <v/>
      </c>
      <c r="AD114" s="14">
        <f>IF(B114="","",IF(OR(O114="",T114=""),"가격 입력 필요",IF(Z114&lt;=0,"❌ 제외",IF(AND(P114="도매꾹",N114&gt;1),"⚠️ 최소수량 확인",IF(AND(AA114&gt;=설정!$B$8,Z114&gt;=설정!$B$9),"✅ 판매추천",IF(Z114&gt;0,"⚠️ 마진부족","❌ 제외"))))))</f>
        <v/>
      </c>
      <c r="AE114" s="15" t="n"/>
    </row>
    <row r="115">
      <c r="A115" s="14" t="n">
        <v>111</v>
      </c>
      <c r="B115" s="15" t="n"/>
      <c r="C115" s="15" t="n"/>
      <c r="D115" s="16" t="n"/>
      <c r="E115" s="17" t="n"/>
      <c r="F115" s="17" t="n"/>
      <c r="G115" s="18">
        <f>IF(E115="","",E115+F115)</f>
        <v/>
      </c>
      <c r="H115" s="17" t="n"/>
      <c r="I115" s="17" t="n"/>
      <c r="J115" s="18">
        <f>IF(H115="","",H115+I115)</f>
        <v/>
      </c>
      <c r="K115" s="17" t="n"/>
      <c r="L115" s="17" t="n"/>
      <c r="M115" s="18">
        <f>IF(K115="","",K115+L115)</f>
        <v/>
      </c>
      <c r="N115" s="16" t="n"/>
      <c r="O115" s="18">
        <f>IF(COUNT(G115,J115,M115)=0,"",MIN(G115,J115,M115))</f>
        <v/>
      </c>
      <c r="P115" s="14">
        <f>IF(O115="","",IF(O115=G115,"스페셜오퍼",IF(O115=J115,"도매매","도매꾹")))</f>
        <v/>
      </c>
      <c r="Q115" s="18">
        <f>IF(COUNT(G115,J115,M115)&lt;2,"",MAX(G115,J115,M115)-MIN(G115,J115,M115))</f>
        <v/>
      </c>
      <c r="R115" s="17" t="n"/>
      <c r="S115" s="17" t="n"/>
      <c r="T115" s="18">
        <f>IF(COUNT(R115,S115)=0,"",MIN(R115,S115))</f>
        <v/>
      </c>
      <c r="U115" s="19">
        <f>IF(OR(O115="",T115=""),"",O115/T115)</f>
        <v/>
      </c>
      <c r="V115" s="18">
        <f>IF(T115="","",ROUNDDOWN(T115*(1-설정!$B$3),-2))</f>
        <v/>
      </c>
      <c r="W115" s="17" t="n"/>
      <c r="X115" s="18">
        <f>IF(W115&lt;&gt;"",W115,V115)</f>
        <v/>
      </c>
      <c r="Y115" s="18">
        <f>IF(X115="","",X115*설정!$B$4)</f>
        <v/>
      </c>
      <c r="Z115" s="18">
        <f>IF(OR(X115="",O115=""),"",X115-Y115-O115-설정!$B$7)</f>
        <v/>
      </c>
      <c r="AA115" s="19">
        <f>IF(OR(Z115="",X115=0),"",Z115/X115)</f>
        <v/>
      </c>
      <c r="AB115" s="18">
        <f>IF(OR(T115="",O115=""),"",(T115+설정!$B$10)*(1-설정!$B$5)-O115)</f>
        <v/>
      </c>
      <c r="AC115" s="18">
        <f>IF(OR(T115="",O115=""),"",(T115+설정!$B$10)*(1-설정!$B$6)-O115)</f>
        <v/>
      </c>
      <c r="AD115" s="14">
        <f>IF(B115="","",IF(OR(O115="",T115=""),"가격 입력 필요",IF(Z115&lt;=0,"❌ 제외",IF(AND(P115="도매꾹",N115&gt;1),"⚠️ 최소수량 확인",IF(AND(AA115&gt;=설정!$B$8,Z115&gt;=설정!$B$9),"✅ 판매추천",IF(Z115&gt;0,"⚠️ 마진부족","❌ 제외"))))))</f>
        <v/>
      </c>
      <c r="AE115" s="15" t="n"/>
    </row>
    <row r="116">
      <c r="A116" s="14" t="n">
        <v>112</v>
      </c>
      <c r="B116" s="15" t="n"/>
      <c r="C116" s="15" t="n"/>
      <c r="D116" s="16" t="n"/>
      <c r="E116" s="17" t="n"/>
      <c r="F116" s="17" t="n"/>
      <c r="G116" s="18">
        <f>IF(E116="","",E116+F116)</f>
        <v/>
      </c>
      <c r="H116" s="17" t="n"/>
      <c r="I116" s="17" t="n"/>
      <c r="J116" s="18">
        <f>IF(H116="","",H116+I116)</f>
        <v/>
      </c>
      <c r="K116" s="17" t="n"/>
      <c r="L116" s="17" t="n"/>
      <c r="M116" s="18">
        <f>IF(K116="","",K116+L116)</f>
        <v/>
      </c>
      <c r="N116" s="16" t="n"/>
      <c r="O116" s="18">
        <f>IF(COUNT(G116,J116,M116)=0,"",MIN(G116,J116,M116))</f>
        <v/>
      </c>
      <c r="P116" s="14">
        <f>IF(O116="","",IF(O116=G116,"스페셜오퍼",IF(O116=J116,"도매매","도매꾹")))</f>
        <v/>
      </c>
      <c r="Q116" s="18">
        <f>IF(COUNT(G116,J116,M116)&lt;2,"",MAX(G116,J116,M116)-MIN(G116,J116,M116))</f>
        <v/>
      </c>
      <c r="R116" s="17" t="n"/>
      <c r="S116" s="17" t="n"/>
      <c r="T116" s="18">
        <f>IF(COUNT(R116,S116)=0,"",MIN(R116,S116))</f>
        <v/>
      </c>
      <c r="U116" s="19">
        <f>IF(OR(O116="",T116=""),"",O116/T116)</f>
        <v/>
      </c>
      <c r="V116" s="18">
        <f>IF(T116="","",ROUNDDOWN(T116*(1-설정!$B$3),-2))</f>
        <v/>
      </c>
      <c r="W116" s="17" t="n"/>
      <c r="X116" s="18">
        <f>IF(W116&lt;&gt;"",W116,V116)</f>
        <v/>
      </c>
      <c r="Y116" s="18">
        <f>IF(X116="","",X116*설정!$B$4)</f>
        <v/>
      </c>
      <c r="Z116" s="18">
        <f>IF(OR(X116="",O116=""),"",X116-Y116-O116-설정!$B$7)</f>
        <v/>
      </c>
      <c r="AA116" s="19">
        <f>IF(OR(Z116="",X116=0),"",Z116/X116)</f>
        <v/>
      </c>
      <c r="AB116" s="18">
        <f>IF(OR(T116="",O116=""),"",(T116+설정!$B$10)*(1-설정!$B$5)-O116)</f>
        <v/>
      </c>
      <c r="AC116" s="18">
        <f>IF(OR(T116="",O116=""),"",(T116+설정!$B$10)*(1-설정!$B$6)-O116)</f>
        <v/>
      </c>
      <c r="AD116" s="14">
        <f>IF(B116="","",IF(OR(O116="",T116=""),"가격 입력 필요",IF(Z116&lt;=0,"❌ 제외",IF(AND(P116="도매꾹",N116&gt;1),"⚠️ 최소수량 확인",IF(AND(AA116&gt;=설정!$B$8,Z116&gt;=설정!$B$9),"✅ 판매추천",IF(Z116&gt;0,"⚠️ 마진부족","❌ 제외"))))))</f>
        <v/>
      </c>
      <c r="AE116" s="15" t="n"/>
    </row>
    <row r="117">
      <c r="A117" s="14" t="n">
        <v>113</v>
      </c>
      <c r="B117" s="15" t="n"/>
      <c r="C117" s="15" t="n"/>
      <c r="D117" s="16" t="n"/>
      <c r="E117" s="17" t="n"/>
      <c r="F117" s="17" t="n"/>
      <c r="G117" s="18">
        <f>IF(E117="","",E117+F117)</f>
        <v/>
      </c>
      <c r="H117" s="17" t="n"/>
      <c r="I117" s="17" t="n"/>
      <c r="J117" s="18">
        <f>IF(H117="","",H117+I117)</f>
        <v/>
      </c>
      <c r="K117" s="17" t="n"/>
      <c r="L117" s="17" t="n"/>
      <c r="M117" s="18">
        <f>IF(K117="","",K117+L117)</f>
        <v/>
      </c>
      <c r="N117" s="16" t="n"/>
      <c r="O117" s="18">
        <f>IF(COUNT(G117,J117,M117)=0,"",MIN(G117,J117,M117))</f>
        <v/>
      </c>
      <c r="P117" s="14">
        <f>IF(O117="","",IF(O117=G117,"스페셜오퍼",IF(O117=J117,"도매매","도매꾹")))</f>
        <v/>
      </c>
      <c r="Q117" s="18">
        <f>IF(COUNT(G117,J117,M117)&lt;2,"",MAX(G117,J117,M117)-MIN(G117,J117,M117))</f>
        <v/>
      </c>
      <c r="R117" s="17" t="n"/>
      <c r="S117" s="17" t="n"/>
      <c r="T117" s="18">
        <f>IF(COUNT(R117,S117)=0,"",MIN(R117,S117))</f>
        <v/>
      </c>
      <c r="U117" s="19">
        <f>IF(OR(O117="",T117=""),"",O117/T117)</f>
        <v/>
      </c>
      <c r="V117" s="18">
        <f>IF(T117="","",ROUNDDOWN(T117*(1-설정!$B$3),-2))</f>
        <v/>
      </c>
      <c r="W117" s="17" t="n"/>
      <c r="X117" s="18">
        <f>IF(W117&lt;&gt;"",W117,V117)</f>
        <v/>
      </c>
      <c r="Y117" s="18">
        <f>IF(X117="","",X117*설정!$B$4)</f>
        <v/>
      </c>
      <c r="Z117" s="18">
        <f>IF(OR(X117="",O117=""),"",X117-Y117-O117-설정!$B$7)</f>
        <v/>
      </c>
      <c r="AA117" s="19">
        <f>IF(OR(Z117="",X117=0),"",Z117/X117)</f>
        <v/>
      </c>
      <c r="AB117" s="18">
        <f>IF(OR(T117="",O117=""),"",(T117+설정!$B$10)*(1-설정!$B$5)-O117)</f>
        <v/>
      </c>
      <c r="AC117" s="18">
        <f>IF(OR(T117="",O117=""),"",(T117+설정!$B$10)*(1-설정!$B$6)-O117)</f>
        <v/>
      </c>
      <c r="AD117" s="14">
        <f>IF(B117="","",IF(OR(O117="",T117=""),"가격 입력 필요",IF(Z117&lt;=0,"❌ 제외",IF(AND(P117="도매꾹",N117&gt;1),"⚠️ 최소수량 확인",IF(AND(AA117&gt;=설정!$B$8,Z117&gt;=설정!$B$9),"✅ 판매추천",IF(Z117&gt;0,"⚠️ 마진부족","❌ 제외"))))))</f>
        <v/>
      </c>
      <c r="AE117" s="15" t="n"/>
    </row>
    <row r="118">
      <c r="A118" s="14" t="n">
        <v>114</v>
      </c>
      <c r="B118" s="15" t="n"/>
      <c r="C118" s="15" t="n"/>
      <c r="D118" s="16" t="n"/>
      <c r="E118" s="17" t="n"/>
      <c r="F118" s="17" t="n"/>
      <c r="G118" s="18">
        <f>IF(E118="","",E118+F118)</f>
        <v/>
      </c>
      <c r="H118" s="17" t="n"/>
      <c r="I118" s="17" t="n"/>
      <c r="J118" s="18">
        <f>IF(H118="","",H118+I118)</f>
        <v/>
      </c>
      <c r="K118" s="17" t="n"/>
      <c r="L118" s="17" t="n"/>
      <c r="M118" s="18">
        <f>IF(K118="","",K118+L118)</f>
        <v/>
      </c>
      <c r="N118" s="16" t="n"/>
      <c r="O118" s="18">
        <f>IF(COUNT(G118,J118,M118)=0,"",MIN(G118,J118,M118))</f>
        <v/>
      </c>
      <c r="P118" s="14">
        <f>IF(O118="","",IF(O118=G118,"스페셜오퍼",IF(O118=J118,"도매매","도매꾹")))</f>
        <v/>
      </c>
      <c r="Q118" s="18">
        <f>IF(COUNT(G118,J118,M118)&lt;2,"",MAX(G118,J118,M118)-MIN(G118,J118,M118))</f>
        <v/>
      </c>
      <c r="R118" s="17" t="n"/>
      <c r="S118" s="17" t="n"/>
      <c r="T118" s="18">
        <f>IF(COUNT(R118,S118)=0,"",MIN(R118,S118))</f>
        <v/>
      </c>
      <c r="U118" s="19">
        <f>IF(OR(O118="",T118=""),"",O118/T118)</f>
        <v/>
      </c>
      <c r="V118" s="18">
        <f>IF(T118="","",ROUNDDOWN(T118*(1-설정!$B$3),-2))</f>
        <v/>
      </c>
      <c r="W118" s="17" t="n"/>
      <c r="X118" s="18">
        <f>IF(W118&lt;&gt;"",W118,V118)</f>
        <v/>
      </c>
      <c r="Y118" s="18">
        <f>IF(X118="","",X118*설정!$B$4)</f>
        <v/>
      </c>
      <c r="Z118" s="18">
        <f>IF(OR(X118="",O118=""),"",X118-Y118-O118-설정!$B$7)</f>
        <v/>
      </c>
      <c r="AA118" s="19">
        <f>IF(OR(Z118="",X118=0),"",Z118/X118)</f>
        <v/>
      </c>
      <c r="AB118" s="18">
        <f>IF(OR(T118="",O118=""),"",(T118+설정!$B$10)*(1-설정!$B$5)-O118)</f>
        <v/>
      </c>
      <c r="AC118" s="18">
        <f>IF(OR(T118="",O118=""),"",(T118+설정!$B$10)*(1-설정!$B$6)-O118)</f>
        <v/>
      </c>
      <c r="AD118" s="14">
        <f>IF(B118="","",IF(OR(O118="",T118=""),"가격 입력 필요",IF(Z118&lt;=0,"❌ 제외",IF(AND(P118="도매꾹",N118&gt;1),"⚠️ 최소수량 확인",IF(AND(AA118&gt;=설정!$B$8,Z118&gt;=설정!$B$9),"✅ 판매추천",IF(Z118&gt;0,"⚠️ 마진부족","❌ 제외"))))))</f>
        <v/>
      </c>
      <c r="AE118" s="15" t="n"/>
    </row>
    <row r="119">
      <c r="A119" s="14" t="n">
        <v>115</v>
      </c>
      <c r="B119" s="15" t="n"/>
      <c r="C119" s="15" t="n"/>
      <c r="D119" s="16" t="n"/>
      <c r="E119" s="17" t="n"/>
      <c r="F119" s="17" t="n"/>
      <c r="G119" s="18">
        <f>IF(E119="","",E119+F119)</f>
        <v/>
      </c>
      <c r="H119" s="17" t="n"/>
      <c r="I119" s="17" t="n"/>
      <c r="J119" s="18">
        <f>IF(H119="","",H119+I119)</f>
        <v/>
      </c>
      <c r="K119" s="17" t="n"/>
      <c r="L119" s="17" t="n"/>
      <c r="M119" s="18">
        <f>IF(K119="","",K119+L119)</f>
        <v/>
      </c>
      <c r="N119" s="16" t="n"/>
      <c r="O119" s="18">
        <f>IF(COUNT(G119,J119,M119)=0,"",MIN(G119,J119,M119))</f>
        <v/>
      </c>
      <c r="P119" s="14">
        <f>IF(O119="","",IF(O119=G119,"스페셜오퍼",IF(O119=J119,"도매매","도매꾹")))</f>
        <v/>
      </c>
      <c r="Q119" s="18">
        <f>IF(COUNT(G119,J119,M119)&lt;2,"",MAX(G119,J119,M119)-MIN(G119,J119,M119))</f>
        <v/>
      </c>
      <c r="R119" s="17" t="n"/>
      <c r="S119" s="17" t="n"/>
      <c r="T119" s="18">
        <f>IF(COUNT(R119,S119)=0,"",MIN(R119,S119))</f>
        <v/>
      </c>
      <c r="U119" s="19">
        <f>IF(OR(O119="",T119=""),"",O119/T119)</f>
        <v/>
      </c>
      <c r="V119" s="18">
        <f>IF(T119="","",ROUNDDOWN(T119*(1-설정!$B$3),-2))</f>
        <v/>
      </c>
      <c r="W119" s="17" t="n"/>
      <c r="X119" s="18">
        <f>IF(W119&lt;&gt;"",W119,V119)</f>
        <v/>
      </c>
      <c r="Y119" s="18">
        <f>IF(X119="","",X119*설정!$B$4)</f>
        <v/>
      </c>
      <c r="Z119" s="18">
        <f>IF(OR(X119="",O119=""),"",X119-Y119-O119-설정!$B$7)</f>
        <v/>
      </c>
      <c r="AA119" s="19">
        <f>IF(OR(Z119="",X119=0),"",Z119/X119)</f>
        <v/>
      </c>
      <c r="AB119" s="18">
        <f>IF(OR(T119="",O119=""),"",(T119+설정!$B$10)*(1-설정!$B$5)-O119)</f>
        <v/>
      </c>
      <c r="AC119" s="18">
        <f>IF(OR(T119="",O119=""),"",(T119+설정!$B$10)*(1-설정!$B$6)-O119)</f>
        <v/>
      </c>
      <c r="AD119" s="14">
        <f>IF(B119="","",IF(OR(O119="",T119=""),"가격 입력 필요",IF(Z119&lt;=0,"❌ 제외",IF(AND(P119="도매꾹",N119&gt;1),"⚠️ 최소수량 확인",IF(AND(AA119&gt;=설정!$B$8,Z119&gt;=설정!$B$9),"✅ 판매추천",IF(Z119&gt;0,"⚠️ 마진부족","❌ 제외"))))))</f>
        <v/>
      </c>
      <c r="AE119" s="15" t="n"/>
    </row>
    <row r="120">
      <c r="A120" s="14" t="n">
        <v>116</v>
      </c>
      <c r="B120" s="15" t="n"/>
      <c r="C120" s="15" t="n"/>
      <c r="D120" s="16" t="n"/>
      <c r="E120" s="17" t="n"/>
      <c r="F120" s="17" t="n"/>
      <c r="G120" s="18">
        <f>IF(E120="","",E120+F120)</f>
        <v/>
      </c>
      <c r="H120" s="17" t="n"/>
      <c r="I120" s="17" t="n"/>
      <c r="J120" s="18">
        <f>IF(H120="","",H120+I120)</f>
        <v/>
      </c>
      <c r="K120" s="17" t="n"/>
      <c r="L120" s="17" t="n"/>
      <c r="M120" s="18">
        <f>IF(K120="","",K120+L120)</f>
        <v/>
      </c>
      <c r="N120" s="16" t="n"/>
      <c r="O120" s="18">
        <f>IF(COUNT(G120,J120,M120)=0,"",MIN(G120,J120,M120))</f>
        <v/>
      </c>
      <c r="P120" s="14">
        <f>IF(O120="","",IF(O120=G120,"스페셜오퍼",IF(O120=J120,"도매매","도매꾹")))</f>
        <v/>
      </c>
      <c r="Q120" s="18">
        <f>IF(COUNT(G120,J120,M120)&lt;2,"",MAX(G120,J120,M120)-MIN(G120,J120,M120))</f>
        <v/>
      </c>
      <c r="R120" s="17" t="n"/>
      <c r="S120" s="17" t="n"/>
      <c r="T120" s="18">
        <f>IF(COUNT(R120,S120)=0,"",MIN(R120,S120))</f>
        <v/>
      </c>
      <c r="U120" s="19">
        <f>IF(OR(O120="",T120=""),"",O120/T120)</f>
        <v/>
      </c>
      <c r="V120" s="18">
        <f>IF(T120="","",ROUNDDOWN(T120*(1-설정!$B$3),-2))</f>
        <v/>
      </c>
      <c r="W120" s="17" t="n"/>
      <c r="X120" s="18">
        <f>IF(W120&lt;&gt;"",W120,V120)</f>
        <v/>
      </c>
      <c r="Y120" s="18">
        <f>IF(X120="","",X120*설정!$B$4)</f>
        <v/>
      </c>
      <c r="Z120" s="18">
        <f>IF(OR(X120="",O120=""),"",X120-Y120-O120-설정!$B$7)</f>
        <v/>
      </c>
      <c r="AA120" s="19">
        <f>IF(OR(Z120="",X120=0),"",Z120/X120)</f>
        <v/>
      </c>
      <c r="AB120" s="18">
        <f>IF(OR(T120="",O120=""),"",(T120+설정!$B$10)*(1-설정!$B$5)-O120)</f>
        <v/>
      </c>
      <c r="AC120" s="18">
        <f>IF(OR(T120="",O120=""),"",(T120+설정!$B$10)*(1-설정!$B$6)-O120)</f>
        <v/>
      </c>
      <c r="AD120" s="14">
        <f>IF(B120="","",IF(OR(O120="",T120=""),"가격 입력 필요",IF(Z120&lt;=0,"❌ 제외",IF(AND(P120="도매꾹",N120&gt;1),"⚠️ 최소수량 확인",IF(AND(AA120&gt;=설정!$B$8,Z120&gt;=설정!$B$9),"✅ 판매추천",IF(Z120&gt;0,"⚠️ 마진부족","❌ 제외"))))))</f>
        <v/>
      </c>
      <c r="AE120" s="15" t="n"/>
    </row>
    <row r="121">
      <c r="A121" s="14" t="n">
        <v>117</v>
      </c>
      <c r="B121" s="15" t="n"/>
      <c r="C121" s="15" t="n"/>
      <c r="D121" s="16" t="n"/>
      <c r="E121" s="17" t="n"/>
      <c r="F121" s="17" t="n"/>
      <c r="G121" s="18">
        <f>IF(E121="","",E121+F121)</f>
        <v/>
      </c>
      <c r="H121" s="17" t="n"/>
      <c r="I121" s="17" t="n"/>
      <c r="J121" s="18">
        <f>IF(H121="","",H121+I121)</f>
        <v/>
      </c>
      <c r="K121" s="17" t="n"/>
      <c r="L121" s="17" t="n"/>
      <c r="M121" s="18">
        <f>IF(K121="","",K121+L121)</f>
        <v/>
      </c>
      <c r="N121" s="16" t="n"/>
      <c r="O121" s="18">
        <f>IF(COUNT(G121,J121,M121)=0,"",MIN(G121,J121,M121))</f>
        <v/>
      </c>
      <c r="P121" s="14">
        <f>IF(O121="","",IF(O121=G121,"스페셜오퍼",IF(O121=J121,"도매매","도매꾹")))</f>
        <v/>
      </c>
      <c r="Q121" s="18">
        <f>IF(COUNT(G121,J121,M121)&lt;2,"",MAX(G121,J121,M121)-MIN(G121,J121,M121))</f>
        <v/>
      </c>
      <c r="R121" s="17" t="n"/>
      <c r="S121" s="17" t="n"/>
      <c r="T121" s="18">
        <f>IF(COUNT(R121,S121)=0,"",MIN(R121,S121))</f>
        <v/>
      </c>
      <c r="U121" s="19">
        <f>IF(OR(O121="",T121=""),"",O121/T121)</f>
        <v/>
      </c>
      <c r="V121" s="18">
        <f>IF(T121="","",ROUNDDOWN(T121*(1-설정!$B$3),-2))</f>
        <v/>
      </c>
      <c r="W121" s="17" t="n"/>
      <c r="X121" s="18">
        <f>IF(W121&lt;&gt;"",W121,V121)</f>
        <v/>
      </c>
      <c r="Y121" s="18">
        <f>IF(X121="","",X121*설정!$B$4)</f>
        <v/>
      </c>
      <c r="Z121" s="18">
        <f>IF(OR(X121="",O121=""),"",X121-Y121-O121-설정!$B$7)</f>
        <v/>
      </c>
      <c r="AA121" s="19">
        <f>IF(OR(Z121="",X121=0),"",Z121/X121)</f>
        <v/>
      </c>
      <c r="AB121" s="18">
        <f>IF(OR(T121="",O121=""),"",(T121+설정!$B$10)*(1-설정!$B$5)-O121)</f>
        <v/>
      </c>
      <c r="AC121" s="18">
        <f>IF(OR(T121="",O121=""),"",(T121+설정!$B$10)*(1-설정!$B$6)-O121)</f>
        <v/>
      </c>
      <c r="AD121" s="14">
        <f>IF(B121="","",IF(OR(O121="",T121=""),"가격 입력 필요",IF(Z121&lt;=0,"❌ 제외",IF(AND(P121="도매꾹",N121&gt;1),"⚠️ 최소수량 확인",IF(AND(AA121&gt;=설정!$B$8,Z121&gt;=설정!$B$9),"✅ 판매추천",IF(Z121&gt;0,"⚠️ 마진부족","❌ 제외"))))))</f>
        <v/>
      </c>
      <c r="AE121" s="15" t="n"/>
    </row>
    <row r="122">
      <c r="A122" s="14" t="n">
        <v>118</v>
      </c>
      <c r="B122" s="15" t="n"/>
      <c r="C122" s="15" t="n"/>
      <c r="D122" s="16" t="n"/>
      <c r="E122" s="17" t="n"/>
      <c r="F122" s="17" t="n"/>
      <c r="G122" s="18">
        <f>IF(E122="","",E122+F122)</f>
        <v/>
      </c>
      <c r="H122" s="17" t="n"/>
      <c r="I122" s="17" t="n"/>
      <c r="J122" s="18">
        <f>IF(H122="","",H122+I122)</f>
        <v/>
      </c>
      <c r="K122" s="17" t="n"/>
      <c r="L122" s="17" t="n"/>
      <c r="M122" s="18">
        <f>IF(K122="","",K122+L122)</f>
        <v/>
      </c>
      <c r="N122" s="16" t="n"/>
      <c r="O122" s="18">
        <f>IF(COUNT(G122,J122,M122)=0,"",MIN(G122,J122,M122))</f>
        <v/>
      </c>
      <c r="P122" s="14">
        <f>IF(O122="","",IF(O122=G122,"스페셜오퍼",IF(O122=J122,"도매매","도매꾹")))</f>
        <v/>
      </c>
      <c r="Q122" s="18">
        <f>IF(COUNT(G122,J122,M122)&lt;2,"",MAX(G122,J122,M122)-MIN(G122,J122,M122))</f>
        <v/>
      </c>
      <c r="R122" s="17" t="n"/>
      <c r="S122" s="17" t="n"/>
      <c r="T122" s="18">
        <f>IF(COUNT(R122,S122)=0,"",MIN(R122,S122))</f>
        <v/>
      </c>
      <c r="U122" s="19">
        <f>IF(OR(O122="",T122=""),"",O122/T122)</f>
        <v/>
      </c>
      <c r="V122" s="18">
        <f>IF(T122="","",ROUNDDOWN(T122*(1-설정!$B$3),-2))</f>
        <v/>
      </c>
      <c r="W122" s="17" t="n"/>
      <c r="X122" s="18">
        <f>IF(W122&lt;&gt;"",W122,V122)</f>
        <v/>
      </c>
      <c r="Y122" s="18">
        <f>IF(X122="","",X122*설정!$B$4)</f>
        <v/>
      </c>
      <c r="Z122" s="18">
        <f>IF(OR(X122="",O122=""),"",X122-Y122-O122-설정!$B$7)</f>
        <v/>
      </c>
      <c r="AA122" s="19">
        <f>IF(OR(Z122="",X122=0),"",Z122/X122)</f>
        <v/>
      </c>
      <c r="AB122" s="18">
        <f>IF(OR(T122="",O122=""),"",(T122+설정!$B$10)*(1-설정!$B$5)-O122)</f>
        <v/>
      </c>
      <c r="AC122" s="18">
        <f>IF(OR(T122="",O122=""),"",(T122+설정!$B$10)*(1-설정!$B$6)-O122)</f>
        <v/>
      </c>
      <c r="AD122" s="14">
        <f>IF(B122="","",IF(OR(O122="",T122=""),"가격 입력 필요",IF(Z122&lt;=0,"❌ 제외",IF(AND(P122="도매꾹",N122&gt;1),"⚠️ 최소수량 확인",IF(AND(AA122&gt;=설정!$B$8,Z122&gt;=설정!$B$9),"✅ 판매추천",IF(Z122&gt;0,"⚠️ 마진부족","❌ 제외"))))))</f>
        <v/>
      </c>
      <c r="AE122" s="15" t="n"/>
    </row>
    <row r="123">
      <c r="A123" s="14" t="n">
        <v>119</v>
      </c>
      <c r="B123" s="15" t="n"/>
      <c r="C123" s="15" t="n"/>
      <c r="D123" s="16" t="n"/>
      <c r="E123" s="17" t="n"/>
      <c r="F123" s="17" t="n"/>
      <c r="G123" s="18">
        <f>IF(E123="","",E123+F123)</f>
        <v/>
      </c>
      <c r="H123" s="17" t="n"/>
      <c r="I123" s="17" t="n"/>
      <c r="J123" s="18">
        <f>IF(H123="","",H123+I123)</f>
        <v/>
      </c>
      <c r="K123" s="17" t="n"/>
      <c r="L123" s="17" t="n"/>
      <c r="M123" s="18">
        <f>IF(K123="","",K123+L123)</f>
        <v/>
      </c>
      <c r="N123" s="16" t="n"/>
      <c r="O123" s="18">
        <f>IF(COUNT(G123,J123,M123)=0,"",MIN(G123,J123,M123))</f>
        <v/>
      </c>
      <c r="P123" s="14">
        <f>IF(O123="","",IF(O123=G123,"스페셜오퍼",IF(O123=J123,"도매매","도매꾹")))</f>
        <v/>
      </c>
      <c r="Q123" s="18">
        <f>IF(COUNT(G123,J123,M123)&lt;2,"",MAX(G123,J123,M123)-MIN(G123,J123,M123))</f>
        <v/>
      </c>
      <c r="R123" s="17" t="n"/>
      <c r="S123" s="17" t="n"/>
      <c r="T123" s="18">
        <f>IF(COUNT(R123,S123)=0,"",MIN(R123,S123))</f>
        <v/>
      </c>
      <c r="U123" s="19">
        <f>IF(OR(O123="",T123=""),"",O123/T123)</f>
        <v/>
      </c>
      <c r="V123" s="18">
        <f>IF(T123="","",ROUNDDOWN(T123*(1-설정!$B$3),-2))</f>
        <v/>
      </c>
      <c r="W123" s="17" t="n"/>
      <c r="X123" s="18">
        <f>IF(W123&lt;&gt;"",W123,V123)</f>
        <v/>
      </c>
      <c r="Y123" s="18">
        <f>IF(X123="","",X123*설정!$B$4)</f>
        <v/>
      </c>
      <c r="Z123" s="18">
        <f>IF(OR(X123="",O123=""),"",X123-Y123-O123-설정!$B$7)</f>
        <v/>
      </c>
      <c r="AA123" s="19">
        <f>IF(OR(Z123="",X123=0),"",Z123/X123)</f>
        <v/>
      </c>
      <c r="AB123" s="18">
        <f>IF(OR(T123="",O123=""),"",(T123+설정!$B$10)*(1-설정!$B$5)-O123)</f>
        <v/>
      </c>
      <c r="AC123" s="18">
        <f>IF(OR(T123="",O123=""),"",(T123+설정!$B$10)*(1-설정!$B$6)-O123)</f>
        <v/>
      </c>
      <c r="AD123" s="14">
        <f>IF(B123="","",IF(OR(O123="",T123=""),"가격 입력 필요",IF(Z123&lt;=0,"❌ 제외",IF(AND(P123="도매꾹",N123&gt;1),"⚠️ 최소수량 확인",IF(AND(AA123&gt;=설정!$B$8,Z123&gt;=설정!$B$9),"✅ 판매추천",IF(Z123&gt;0,"⚠️ 마진부족","❌ 제외"))))))</f>
        <v/>
      </c>
      <c r="AE123" s="15" t="n"/>
    </row>
    <row r="124">
      <c r="A124" s="14" t="n">
        <v>120</v>
      </c>
      <c r="B124" s="15" t="n"/>
      <c r="C124" s="15" t="n"/>
      <c r="D124" s="16" t="n"/>
      <c r="E124" s="17" t="n"/>
      <c r="F124" s="17" t="n"/>
      <c r="G124" s="18">
        <f>IF(E124="","",E124+F124)</f>
        <v/>
      </c>
      <c r="H124" s="17" t="n"/>
      <c r="I124" s="17" t="n"/>
      <c r="J124" s="18">
        <f>IF(H124="","",H124+I124)</f>
        <v/>
      </c>
      <c r="K124" s="17" t="n"/>
      <c r="L124" s="17" t="n"/>
      <c r="M124" s="18">
        <f>IF(K124="","",K124+L124)</f>
        <v/>
      </c>
      <c r="N124" s="16" t="n"/>
      <c r="O124" s="18">
        <f>IF(COUNT(G124,J124,M124)=0,"",MIN(G124,J124,M124))</f>
        <v/>
      </c>
      <c r="P124" s="14">
        <f>IF(O124="","",IF(O124=G124,"스페셜오퍼",IF(O124=J124,"도매매","도매꾹")))</f>
        <v/>
      </c>
      <c r="Q124" s="18">
        <f>IF(COUNT(G124,J124,M124)&lt;2,"",MAX(G124,J124,M124)-MIN(G124,J124,M124))</f>
        <v/>
      </c>
      <c r="R124" s="17" t="n"/>
      <c r="S124" s="17" t="n"/>
      <c r="T124" s="18">
        <f>IF(COUNT(R124,S124)=0,"",MIN(R124,S124))</f>
        <v/>
      </c>
      <c r="U124" s="19">
        <f>IF(OR(O124="",T124=""),"",O124/T124)</f>
        <v/>
      </c>
      <c r="V124" s="18">
        <f>IF(T124="","",ROUNDDOWN(T124*(1-설정!$B$3),-2))</f>
        <v/>
      </c>
      <c r="W124" s="17" t="n"/>
      <c r="X124" s="18">
        <f>IF(W124&lt;&gt;"",W124,V124)</f>
        <v/>
      </c>
      <c r="Y124" s="18">
        <f>IF(X124="","",X124*설정!$B$4)</f>
        <v/>
      </c>
      <c r="Z124" s="18">
        <f>IF(OR(X124="",O124=""),"",X124-Y124-O124-설정!$B$7)</f>
        <v/>
      </c>
      <c r="AA124" s="19">
        <f>IF(OR(Z124="",X124=0),"",Z124/X124)</f>
        <v/>
      </c>
      <c r="AB124" s="18">
        <f>IF(OR(T124="",O124=""),"",(T124+설정!$B$10)*(1-설정!$B$5)-O124)</f>
        <v/>
      </c>
      <c r="AC124" s="18">
        <f>IF(OR(T124="",O124=""),"",(T124+설정!$B$10)*(1-설정!$B$6)-O124)</f>
        <v/>
      </c>
      <c r="AD124" s="14">
        <f>IF(B124="","",IF(OR(O124="",T124=""),"가격 입력 필요",IF(Z124&lt;=0,"❌ 제외",IF(AND(P124="도매꾹",N124&gt;1),"⚠️ 최소수량 확인",IF(AND(AA124&gt;=설정!$B$8,Z124&gt;=설정!$B$9),"✅ 판매추천",IF(Z124&gt;0,"⚠️ 마진부족","❌ 제외"))))))</f>
        <v/>
      </c>
      <c r="AE124" s="15" t="n"/>
    </row>
    <row r="125">
      <c r="A125" s="14" t="n">
        <v>121</v>
      </c>
      <c r="B125" s="15" t="n"/>
      <c r="C125" s="15" t="n"/>
      <c r="D125" s="16" t="n"/>
      <c r="E125" s="17" t="n"/>
      <c r="F125" s="17" t="n"/>
      <c r="G125" s="18">
        <f>IF(E125="","",E125+F125)</f>
        <v/>
      </c>
      <c r="H125" s="17" t="n"/>
      <c r="I125" s="17" t="n"/>
      <c r="J125" s="18">
        <f>IF(H125="","",H125+I125)</f>
        <v/>
      </c>
      <c r="K125" s="17" t="n"/>
      <c r="L125" s="17" t="n"/>
      <c r="M125" s="18">
        <f>IF(K125="","",K125+L125)</f>
        <v/>
      </c>
      <c r="N125" s="16" t="n"/>
      <c r="O125" s="18">
        <f>IF(COUNT(G125,J125,M125)=0,"",MIN(G125,J125,M125))</f>
        <v/>
      </c>
      <c r="P125" s="14">
        <f>IF(O125="","",IF(O125=G125,"스페셜오퍼",IF(O125=J125,"도매매","도매꾹")))</f>
        <v/>
      </c>
      <c r="Q125" s="18">
        <f>IF(COUNT(G125,J125,M125)&lt;2,"",MAX(G125,J125,M125)-MIN(G125,J125,M125))</f>
        <v/>
      </c>
      <c r="R125" s="17" t="n"/>
      <c r="S125" s="17" t="n"/>
      <c r="T125" s="18">
        <f>IF(COUNT(R125,S125)=0,"",MIN(R125,S125))</f>
        <v/>
      </c>
      <c r="U125" s="19">
        <f>IF(OR(O125="",T125=""),"",O125/T125)</f>
        <v/>
      </c>
      <c r="V125" s="18">
        <f>IF(T125="","",ROUNDDOWN(T125*(1-설정!$B$3),-2))</f>
        <v/>
      </c>
      <c r="W125" s="17" t="n"/>
      <c r="X125" s="18">
        <f>IF(W125&lt;&gt;"",W125,V125)</f>
        <v/>
      </c>
      <c r="Y125" s="18">
        <f>IF(X125="","",X125*설정!$B$4)</f>
        <v/>
      </c>
      <c r="Z125" s="18">
        <f>IF(OR(X125="",O125=""),"",X125-Y125-O125-설정!$B$7)</f>
        <v/>
      </c>
      <c r="AA125" s="19">
        <f>IF(OR(Z125="",X125=0),"",Z125/X125)</f>
        <v/>
      </c>
      <c r="AB125" s="18">
        <f>IF(OR(T125="",O125=""),"",(T125+설정!$B$10)*(1-설정!$B$5)-O125)</f>
        <v/>
      </c>
      <c r="AC125" s="18">
        <f>IF(OR(T125="",O125=""),"",(T125+설정!$B$10)*(1-설정!$B$6)-O125)</f>
        <v/>
      </c>
      <c r="AD125" s="14">
        <f>IF(B125="","",IF(OR(O125="",T125=""),"가격 입력 필요",IF(Z125&lt;=0,"❌ 제외",IF(AND(P125="도매꾹",N125&gt;1),"⚠️ 최소수량 확인",IF(AND(AA125&gt;=설정!$B$8,Z125&gt;=설정!$B$9),"✅ 판매추천",IF(Z125&gt;0,"⚠️ 마진부족","❌ 제외"))))))</f>
        <v/>
      </c>
      <c r="AE125" s="15" t="n"/>
    </row>
    <row r="126">
      <c r="A126" s="14" t="n">
        <v>122</v>
      </c>
      <c r="B126" s="15" t="n"/>
      <c r="C126" s="15" t="n"/>
      <c r="D126" s="16" t="n"/>
      <c r="E126" s="17" t="n"/>
      <c r="F126" s="17" t="n"/>
      <c r="G126" s="18">
        <f>IF(E126="","",E126+F126)</f>
        <v/>
      </c>
      <c r="H126" s="17" t="n"/>
      <c r="I126" s="17" t="n"/>
      <c r="J126" s="18">
        <f>IF(H126="","",H126+I126)</f>
        <v/>
      </c>
      <c r="K126" s="17" t="n"/>
      <c r="L126" s="17" t="n"/>
      <c r="M126" s="18">
        <f>IF(K126="","",K126+L126)</f>
        <v/>
      </c>
      <c r="N126" s="16" t="n"/>
      <c r="O126" s="18">
        <f>IF(COUNT(G126,J126,M126)=0,"",MIN(G126,J126,M126))</f>
        <v/>
      </c>
      <c r="P126" s="14">
        <f>IF(O126="","",IF(O126=G126,"스페셜오퍼",IF(O126=J126,"도매매","도매꾹")))</f>
        <v/>
      </c>
      <c r="Q126" s="18">
        <f>IF(COUNT(G126,J126,M126)&lt;2,"",MAX(G126,J126,M126)-MIN(G126,J126,M126))</f>
        <v/>
      </c>
      <c r="R126" s="17" t="n"/>
      <c r="S126" s="17" t="n"/>
      <c r="T126" s="18">
        <f>IF(COUNT(R126,S126)=0,"",MIN(R126,S126))</f>
        <v/>
      </c>
      <c r="U126" s="19">
        <f>IF(OR(O126="",T126=""),"",O126/T126)</f>
        <v/>
      </c>
      <c r="V126" s="18">
        <f>IF(T126="","",ROUNDDOWN(T126*(1-설정!$B$3),-2))</f>
        <v/>
      </c>
      <c r="W126" s="17" t="n"/>
      <c r="X126" s="18">
        <f>IF(W126&lt;&gt;"",W126,V126)</f>
        <v/>
      </c>
      <c r="Y126" s="18">
        <f>IF(X126="","",X126*설정!$B$4)</f>
        <v/>
      </c>
      <c r="Z126" s="18">
        <f>IF(OR(X126="",O126=""),"",X126-Y126-O126-설정!$B$7)</f>
        <v/>
      </c>
      <c r="AA126" s="19">
        <f>IF(OR(Z126="",X126=0),"",Z126/X126)</f>
        <v/>
      </c>
      <c r="AB126" s="18">
        <f>IF(OR(T126="",O126=""),"",(T126+설정!$B$10)*(1-설정!$B$5)-O126)</f>
        <v/>
      </c>
      <c r="AC126" s="18">
        <f>IF(OR(T126="",O126=""),"",(T126+설정!$B$10)*(1-설정!$B$6)-O126)</f>
        <v/>
      </c>
      <c r="AD126" s="14">
        <f>IF(B126="","",IF(OR(O126="",T126=""),"가격 입력 필요",IF(Z126&lt;=0,"❌ 제외",IF(AND(P126="도매꾹",N126&gt;1),"⚠️ 최소수량 확인",IF(AND(AA126&gt;=설정!$B$8,Z126&gt;=설정!$B$9),"✅ 판매추천",IF(Z126&gt;0,"⚠️ 마진부족","❌ 제외"))))))</f>
        <v/>
      </c>
      <c r="AE126" s="15" t="n"/>
    </row>
    <row r="127">
      <c r="A127" s="14" t="n">
        <v>123</v>
      </c>
      <c r="B127" s="15" t="n"/>
      <c r="C127" s="15" t="n"/>
      <c r="D127" s="16" t="n"/>
      <c r="E127" s="17" t="n"/>
      <c r="F127" s="17" t="n"/>
      <c r="G127" s="18">
        <f>IF(E127="","",E127+F127)</f>
        <v/>
      </c>
      <c r="H127" s="17" t="n"/>
      <c r="I127" s="17" t="n"/>
      <c r="J127" s="18">
        <f>IF(H127="","",H127+I127)</f>
        <v/>
      </c>
      <c r="K127" s="17" t="n"/>
      <c r="L127" s="17" t="n"/>
      <c r="M127" s="18">
        <f>IF(K127="","",K127+L127)</f>
        <v/>
      </c>
      <c r="N127" s="16" t="n"/>
      <c r="O127" s="18">
        <f>IF(COUNT(G127,J127,M127)=0,"",MIN(G127,J127,M127))</f>
        <v/>
      </c>
      <c r="P127" s="14">
        <f>IF(O127="","",IF(O127=G127,"스페셜오퍼",IF(O127=J127,"도매매","도매꾹")))</f>
        <v/>
      </c>
      <c r="Q127" s="18">
        <f>IF(COUNT(G127,J127,M127)&lt;2,"",MAX(G127,J127,M127)-MIN(G127,J127,M127))</f>
        <v/>
      </c>
      <c r="R127" s="17" t="n"/>
      <c r="S127" s="17" t="n"/>
      <c r="T127" s="18">
        <f>IF(COUNT(R127,S127)=0,"",MIN(R127,S127))</f>
        <v/>
      </c>
      <c r="U127" s="19">
        <f>IF(OR(O127="",T127=""),"",O127/T127)</f>
        <v/>
      </c>
      <c r="V127" s="18">
        <f>IF(T127="","",ROUNDDOWN(T127*(1-설정!$B$3),-2))</f>
        <v/>
      </c>
      <c r="W127" s="17" t="n"/>
      <c r="X127" s="18">
        <f>IF(W127&lt;&gt;"",W127,V127)</f>
        <v/>
      </c>
      <c r="Y127" s="18">
        <f>IF(X127="","",X127*설정!$B$4)</f>
        <v/>
      </c>
      <c r="Z127" s="18">
        <f>IF(OR(X127="",O127=""),"",X127-Y127-O127-설정!$B$7)</f>
        <v/>
      </c>
      <c r="AA127" s="19">
        <f>IF(OR(Z127="",X127=0),"",Z127/X127)</f>
        <v/>
      </c>
      <c r="AB127" s="18">
        <f>IF(OR(T127="",O127=""),"",(T127+설정!$B$10)*(1-설정!$B$5)-O127)</f>
        <v/>
      </c>
      <c r="AC127" s="18">
        <f>IF(OR(T127="",O127=""),"",(T127+설정!$B$10)*(1-설정!$B$6)-O127)</f>
        <v/>
      </c>
      <c r="AD127" s="14">
        <f>IF(B127="","",IF(OR(O127="",T127=""),"가격 입력 필요",IF(Z127&lt;=0,"❌ 제외",IF(AND(P127="도매꾹",N127&gt;1),"⚠️ 최소수량 확인",IF(AND(AA127&gt;=설정!$B$8,Z127&gt;=설정!$B$9),"✅ 판매추천",IF(Z127&gt;0,"⚠️ 마진부족","❌ 제외"))))))</f>
        <v/>
      </c>
      <c r="AE127" s="15" t="n"/>
    </row>
    <row r="128">
      <c r="A128" s="14" t="n">
        <v>124</v>
      </c>
      <c r="B128" s="15" t="n"/>
      <c r="C128" s="15" t="n"/>
      <c r="D128" s="16" t="n"/>
      <c r="E128" s="17" t="n"/>
      <c r="F128" s="17" t="n"/>
      <c r="G128" s="18">
        <f>IF(E128="","",E128+F128)</f>
        <v/>
      </c>
      <c r="H128" s="17" t="n"/>
      <c r="I128" s="17" t="n"/>
      <c r="J128" s="18">
        <f>IF(H128="","",H128+I128)</f>
        <v/>
      </c>
      <c r="K128" s="17" t="n"/>
      <c r="L128" s="17" t="n"/>
      <c r="M128" s="18">
        <f>IF(K128="","",K128+L128)</f>
        <v/>
      </c>
      <c r="N128" s="16" t="n"/>
      <c r="O128" s="18">
        <f>IF(COUNT(G128,J128,M128)=0,"",MIN(G128,J128,M128))</f>
        <v/>
      </c>
      <c r="P128" s="14">
        <f>IF(O128="","",IF(O128=G128,"스페셜오퍼",IF(O128=J128,"도매매","도매꾹")))</f>
        <v/>
      </c>
      <c r="Q128" s="18">
        <f>IF(COUNT(G128,J128,M128)&lt;2,"",MAX(G128,J128,M128)-MIN(G128,J128,M128))</f>
        <v/>
      </c>
      <c r="R128" s="17" t="n"/>
      <c r="S128" s="17" t="n"/>
      <c r="T128" s="18">
        <f>IF(COUNT(R128,S128)=0,"",MIN(R128,S128))</f>
        <v/>
      </c>
      <c r="U128" s="19">
        <f>IF(OR(O128="",T128=""),"",O128/T128)</f>
        <v/>
      </c>
      <c r="V128" s="18">
        <f>IF(T128="","",ROUNDDOWN(T128*(1-설정!$B$3),-2))</f>
        <v/>
      </c>
      <c r="W128" s="17" t="n"/>
      <c r="X128" s="18">
        <f>IF(W128&lt;&gt;"",W128,V128)</f>
        <v/>
      </c>
      <c r="Y128" s="18">
        <f>IF(X128="","",X128*설정!$B$4)</f>
        <v/>
      </c>
      <c r="Z128" s="18">
        <f>IF(OR(X128="",O128=""),"",X128-Y128-O128-설정!$B$7)</f>
        <v/>
      </c>
      <c r="AA128" s="19">
        <f>IF(OR(Z128="",X128=0),"",Z128/X128)</f>
        <v/>
      </c>
      <c r="AB128" s="18">
        <f>IF(OR(T128="",O128=""),"",(T128+설정!$B$10)*(1-설정!$B$5)-O128)</f>
        <v/>
      </c>
      <c r="AC128" s="18">
        <f>IF(OR(T128="",O128=""),"",(T128+설정!$B$10)*(1-설정!$B$6)-O128)</f>
        <v/>
      </c>
      <c r="AD128" s="14">
        <f>IF(B128="","",IF(OR(O128="",T128=""),"가격 입력 필요",IF(Z128&lt;=0,"❌ 제외",IF(AND(P128="도매꾹",N128&gt;1),"⚠️ 최소수량 확인",IF(AND(AA128&gt;=설정!$B$8,Z128&gt;=설정!$B$9),"✅ 판매추천",IF(Z128&gt;0,"⚠️ 마진부족","❌ 제외"))))))</f>
        <v/>
      </c>
      <c r="AE128" s="15" t="n"/>
    </row>
    <row r="129">
      <c r="A129" s="14" t="n">
        <v>125</v>
      </c>
      <c r="B129" s="15" t="n"/>
      <c r="C129" s="15" t="n"/>
      <c r="D129" s="16" t="n"/>
      <c r="E129" s="17" t="n"/>
      <c r="F129" s="17" t="n"/>
      <c r="G129" s="18">
        <f>IF(E129="","",E129+F129)</f>
        <v/>
      </c>
      <c r="H129" s="17" t="n"/>
      <c r="I129" s="17" t="n"/>
      <c r="J129" s="18">
        <f>IF(H129="","",H129+I129)</f>
        <v/>
      </c>
      <c r="K129" s="17" t="n"/>
      <c r="L129" s="17" t="n"/>
      <c r="M129" s="18">
        <f>IF(K129="","",K129+L129)</f>
        <v/>
      </c>
      <c r="N129" s="16" t="n"/>
      <c r="O129" s="18">
        <f>IF(COUNT(G129,J129,M129)=0,"",MIN(G129,J129,M129))</f>
        <v/>
      </c>
      <c r="P129" s="14">
        <f>IF(O129="","",IF(O129=G129,"스페셜오퍼",IF(O129=J129,"도매매","도매꾹")))</f>
        <v/>
      </c>
      <c r="Q129" s="18">
        <f>IF(COUNT(G129,J129,M129)&lt;2,"",MAX(G129,J129,M129)-MIN(G129,J129,M129))</f>
        <v/>
      </c>
      <c r="R129" s="17" t="n"/>
      <c r="S129" s="17" t="n"/>
      <c r="T129" s="18">
        <f>IF(COUNT(R129,S129)=0,"",MIN(R129,S129))</f>
        <v/>
      </c>
      <c r="U129" s="19">
        <f>IF(OR(O129="",T129=""),"",O129/T129)</f>
        <v/>
      </c>
      <c r="V129" s="18">
        <f>IF(T129="","",ROUNDDOWN(T129*(1-설정!$B$3),-2))</f>
        <v/>
      </c>
      <c r="W129" s="17" t="n"/>
      <c r="X129" s="18">
        <f>IF(W129&lt;&gt;"",W129,V129)</f>
        <v/>
      </c>
      <c r="Y129" s="18">
        <f>IF(X129="","",X129*설정!$B$4)</f>
        <v/>
      </c>
      <c r="Z129" s="18">
        <f>IF(OR(X129="",O129=""),"",X129-Y129-O129-설정!$B$7)</f>
        <v/>
      </c>
      <c r="AA129" s="19">
        <f>IF(OR(Z129="",X129=0),"",Z129/X129)</f>
        <v/>
      </c>
      <c r="AB129" s="18">
        <f>IF(OR(T129="",O129=""),"",(T129+설정!$B$10)*(1-설정!$B$5)-O129)</f>
        <v/>
      </c>
      <c r="AC129" s="18">
        <f>IF(OR(T129="",O129=""),"",(T129+설정!$B$10)*(1-설정!$B$6)-O129)</f>
        <v/>
      </c>
      <c r="AD129" s="14">
        <f>IF(B129="","",IF(OR(O129="",T129=""),"가격 입력 필요",IF(Z129&lt;=0,"❌ 제외",IF(AND(P129="도매꾹",N129&gt;1),"⚠️ 최소수량 확인",IF(AND(AA129&gt;=설정!$B$8,Z129&gt;=설정!$B$9),"✅ 판매추천",IF(Z129&gt;0,"⚠️ 마진부족","❌ 제외"))))))</f>
        <v/>
      </c>
      <c r="AE129" s="15" t="n"/>
    </row>
    <row r="130">
      <c r="A130" s="14" t="n">
        <v>126</v>
      </c>
      <c r="B130" s="15" t="n"/>
      <c r="C130" s="15" t="n"/>
      <c r="D130" s="16" t="n"/>
      <c r="E130" s="17" t="n"/>
      <c r="F130" s="17" t="n"/>
      <c r="G130" s="18">
        <f>IF(E130="","",E130+F130)</f>
        <v/>
      </c>
      <c r="H130" s="17" t="n"/>
      <c r="I130" s="17" t="n"/>
      <c r="J130" s="18">
        <f>IF(H130="","",H130+I130)</f>
        <v/>
      </c>
      <c r="K130" s="17" t="n"/>
      <c r="L130" s="17" t="n"/>
      <c r="M130" s="18">
        <f>IF(K130="","",K130+L130)</f>
        <v/>
      </c>
      <c r="N130" s="16" t="n"/>
      <c r="O130" s="18">
        <f>IF(COUNT(G130,J130,M130)=0,"",MIN(G130,J130,M130))</f>
        <v/>
      </c>
      <c r="P130" s="14">
        <f>IF(O130="","",IF(O130=G130,"스페셜오퍼",IF(O130=J130,"도매매","도매꾹")))</f>
        <v/>
      </c>
      <c r="Q130" s="18">
        <f>IF(COUNT(G130,J130,M130)&lt;2,"",MAX(G130,J130,M130)-MIN(G130,J130,M130))</f>
        <v/>
      </c>
      <c r="R130" s="17" t="n"/>
      <c r="S130" s="17" t="n"/>
      <c r="T130" s="18">
        <f>IF(COUNT(R130,S130)=0,"",MIN(R130,S130))</f>
        <v/>
      </c>
      <c r="U130" s="19">
        <f>IF(OR(O130="",T130=""),"",O130/T130)</f>
        <v/>
      </c>
      <c r="V130" s="18">
        <f>IF(T130="","",ROUNDDOWN(T130*(1-설정!$B$3),-2))</f>
        <v/>
      </c>
      <c r="W130" s="17" t="n"/>
      <c r="X130" s="18">
        <f>IF(W130&lt;&gt;"",W130,V130)</f>
        <v/>
      </c>
      <c r="Y130" s="18">
        <f>IF(X130="","",X130*설정!$B$4)</f>
        <v/>
      </c>
      <c r="Z130" s="18">
        <f>IF(OR(X130="",O130=""),"",X130-Y130-O130-설정!$B$7)</f>
        <v/>
      </c>
      <c r="AA130" s="19">
        <f>IF(OR(Z130="",X130=0),"",Z130/X130)</f>
        <v/>
      </c>
      <c r="AB130" s="18">
        <f>IF(OR(T130="",O130=""),"",(T130+설정!$B$10)*(1-설정!$B$5)-O130)</f>
        <v/>
      </c>
      <c r="AC130" s="18">
        <f>IF(OR(T130="",O130=""),"",(T130+설정!$B$10)*(1-설정!$B$6)-O130)</f>
        <v/>
      </c>
      <c r="AD130" s="14">
        <f>IF(B130="","",IF(OR(O130="",T130=""),"가격 입력 필요",IF(Z130&lt;=0,"❌ 제외",IF(AND(P130="도매꾹",N130&gt;1),"⚠️ 최소수량 확인",IF(AND(AA130&gt;=설정!$B$8,Z130&gt;=설정!$B$9),"✅ 판매추천",IF(Z130&gt;0,"⚠️ 마진부족","❌ 제외"))))))</f>
        <v/>
      </c>
      <c r="AE130" s="15" t="n"/>
    </row>
    <row r="131">
      <c r="A131" s="14" t="n">
        <v>127</v>
      </c>
      <c r="B131" s="15" t="n"/>
      <c r="C131" s="15" t="n"/>
      <c r="D131" s="16" t="n"/>
      <c r="E131" s="17" t="n"/>
      <c r="F131" s="17" t="n"/>
      <c r="G131" s="18">
        <f>IF(E131="","",E131+F131)</f>
        <v/>
      </c>
      <c r="H131" s="17" t="n"/>
      <c r="I131" s="17" t="n"/>
      <c r="J131" s="18">
        <f>IF(H131="","",H131+I131)</f>
        <v/>
      </c>
      <c r="K131" s="17" t="n"/>
      <c r="L131" s="17" t="n"/>
      <c r="M131" s="18">
        <f>IF(K131="","",K131+L131)</f>
        <v/>
      </c>
      <c r="N131" s="16" t="n"/>
      <c r="O131" s="18">
        <f>IF(COUNT(G131,J131,M131)=0,"",MIN(G131,J131,M131))</f>
        <v/>
      </c>
      <c r="P131" s="14">
        <f>IF(O131="","",IF(O131=G131,"스페셜오퍼",IF(O131=J131,"도매매","도매꾹")))</f>
        <v/>
      </c>
      <c r="Q131" s="18">
        <f>IF(COUNT(G131,J131,M131)&lt;2,"",MAX(G131,J131,M131)-MIN(G131,J131,M131))</f>
        <v/>
      </c>
      <c r="R131" s="17" t="n"/>
      <c r="S131" s="17" t="n"/>
      <c r="T131" s="18">
        <f>IF(COUNT(R131,S131)=0,"",MIN(R131,S131))</f>
        <v/>
      </c>
      <c r="U131" s="19">
        <f>IF(OR(O131="",T131=""),"",O131/T131)</f>
        <v/>
      </c>
      <c r="V131" s="18">
        <f>IF(T131="","",ROUNDDOWN(T131*(1-설정!$B$3),-2))</f>
        <v/>
      </c>
      <c r="W131" s="17" t="n"/>
      <c r="X131" s="18">
        <f>IF(W131&lt;&gt;"",W131,V131)</f>
        <v/>
      </c>
      <c r="Y131" s="18">
        <f>IF(X131="","",X131*설정!$B$4)</f>
        <v/>
      </c>
      <c r="Z131" s="18">
        <f>IF(OR(X131="",O131=""),"",X131-Y131-O131-설정!$B$7)</f>
        <v/>
      </c>
      <c r="AA131" s="19">
        <f>IF(OR(Z131="",X131=0),"",Z131/X131)</f>
        <v/>
      </c>
      <c r="AB131" s="18">
        <f>IF(OR(T131="",O131=""),"",(T131+설정!$B$10)*(1-설정!$B$5)-O131)</f>
        <v/>
      </c>
      <c r="AC131" s="18">
        <f>IF(OR(T131="",O131=""),"",(T131+설정!$B$10)*(1-설정!$B$6)-O131)</f>
        <v/>
      </c>
      <c r="AD131" s="14">
        <f>IF(B131="","",IF(OR(O131="",T131=""),"가격 입력 필요",IF(Z131&lt;=0,"❌ 제외",IF(AND(P131="도매꾹",N131&gt;1),"⚠️ 최소수량 확인",IF(AND(AA131&gt;=설정!$B$8,Z131&gt;=설정!$B$9),"✅ 판매추천",IF(Z131&gt;0,"⚠️ 마진부족","❌ 제외"))))))</f>
        <v/>
      </c>
      <c r="AE131" s="15" t="n"/>
    </row>
    <row r="132">
      <c r="A132" s="14" t="n">
        <v>128</v>
      </c>
      <c r="B132" s="15" t="n"/>
      <c r="C132" s="15" t="n"/>
      <c r="D132" s="16" t="n"/>
      <c r="E132" s="17" t="n"/>
      <c r="F132" s="17" t="n"/>
      <c r="G132" s="18">
        <f>IF(E132="","",E132+F132)</f>
        <v/>
      </c>
      <c r="H132" s="17" t="n"/>
      <c r="I132" s="17" t="n"/>
      <c r="J132" s="18">
        <f>IF(H132="","",H132+I132)</f>
        <v/>
      </c>
      <c r="K132" s="17" t="n"/>
      <c r="L132" s="17" t="n"/>
      <c r="M132" s="18">
        <f>IF(K132="","",K132+L132)</f>
        <v/>
      </c>
      <c r="N132" s="16" t="n"/>
      <c r="O132" s="18">
        <f>IF(COUNT(G132,J132,M132)=0,"",MIN(G132,J132,M132))</f>
        <v/>
      </c>
      <c r="P132" s="14">
        <f>IF(O132="","",IF(O132=G132,"스페셜오퍼",IF(O132=J132,"도매매","도매꾹")))</f>
        <v/>
      </c>
      <c r="Q132" s="18">
        <f>IF(COUNT(G132,J132,M132)&lt;2,"",MAX(G132,J132,M132)-MIN(G132,J132,M132))</f>
        <v/>
      </c>
      <c r="R132" s="17" t="n"/>
      <c r="S132" s="17" t="n"/>
      <c r="T132" s="18">
        <f>IF(COUNT(R132,S132)=0,"",MIN(R132,S132))</f>
        <v/>
      </c>
      <c r="U132" s="19">
        <f>IF(OR(O132="",T132=""),"",O132/T132)</f>
        <v/>
      </c>
      <c r="V132" s="18">
        <f>IF(T132="","",ROUNDDOWN(T132*(1-설정!$B$3),-2))</f>
        <v/>
      </c>
      <c r="W132" s="17" t="n"/>
      <c r="X132" s="18">
        <f>IF(W132&lt;&gt;"",W132,V132)</f>
        <v/>
      </c>
      <c r="Y132" s="18">
        <f>IF(X132="","",X132*설정!$B$4)</f>
        <v/>
      </c>
      <c r="Z132" s="18">
        <f>IF(OR(X132="",O132=""),"",X132-Y132-O132-설정!$B$7)</f>
        <v/>
      </c>
      <c r="AA132" s="19">
        <f>IF(OR(Z132="",X132=0),"",Z132/X132)</f>
        <v/>
      </c>
      <c r="AB132" s="18">
        <f>IF(OR(T132="",O132=""),"",(T132+설정!$B$10)*(1-설정!$B$5)-O132)</f>
        <v/>
      </c>
      <c r="AC132" s="18">
        <f>IF(OR(T132="",O132=""),"",(T132+설정!$B$10)*(1-설정!$B$6)-O132)</f>
        <v/>
      </c>
      <c r="AD132" s="14">
        <f>IF(B132="","",IF(OR(O132="",T132=""),"가격 입력 필요",IF(Z132&lt;=0,"❌ 제외",IF(AND(P132="도매꾹",N132&gt;1),"⚠️ 최소수량 확인",IF(AND(AA132&gt;=설정!$B$8,Z132&gt;=설정!$B$9),"✅ 판매추천",IF(Z132&gt;0,"⚠️ 마진부족","❌ 제외"))))))</f>
        <v/>
      </c>
      <c r="AE132" s="15" t="n"/>
    </row>
    <row r="133">
      <c r="A133" s="14" t="n">
        <v>129</v>
      </c>
      <c r="B133" s="15" t="n"/>
      <c r="C133" s="15" t="n"/>
      <c r="D133" s="16" t="n"/>
      <c r="E133" s="17" t="n"/>
      <c r="F133" s="17" t="n"/>
      <c r="G133" s="18">
        <f>IF(E133="","",E133+F133)</f>
        <v/>
      </c>
      <c r="H133" s="17" t="n"/>
      <c r="I133" s="17" t="n"/>
      <c r="J133" s="18">
        <f>IF(H133="","",H133+I133)</f>
        <v/>
      </c>
      <c r="K133" s="17" t="n"/>
      <c r="L133" s="17" t="n"/>
      <c r="M133" s="18">
        <f>IF(K133="","",K133+L133)</f>
        <v/>
      </c>
      <c r="N133" s="16" t="n"/>
      <c r="O133" s="18">
        <f>IF(COUNT(G133,J133,M133)=0,"",MIN(G133,J133,M133))</f>
        <v/>
      </c>
      <c r="P133" s="14">
        <f>IF(O133="","",IF(O133=G133,"스페셜오퍼",IF(O133=J133,"도매매","도매꾹")))</f>
        <v/>
      </c>
      <c r="Q133" s="18">
        <f>IF(COUNT(G133,J133,M133)&lt;2,"",MAX(G133,J133,M133)-MIN(G133,J133,M133))</f>
        <v/>
      </c>
      <c r="R133" s="17" t="n"/>
      <c r="S133" s="17" t="n"/>
      <c r="T133" s="18">
        <f>IF(COUNT(R133,S133)=0,"",MIN(R133,S133))</f>
        <v/>
      </c>
      <c r="U133" s="19">
        <f>IF(OR(O133="",T133=""),"",O133/T133)</f>
        <v/>
      </c>
      <c r="V133" s="18">
        <f>IF(T133="","",ROUNDDOWN(T133*(1-설정!$B$3),-2))</f>
        <v/>
      </c>
      <c r="W133" s="17" t="n"/>
      <c r="X133" s="18">
        <f>IF(W133&lt;&gt;"",W133,V133)</f>
        <v/>
      </c>
      <c r="Y133" s="18">
        <f>IF(X133="","",X133*설정!$B$4)</f>
        <v/>
      </c>
      <c r="Z133" s="18">
        <f>IF(OR(X133="",O133=""),"",X133-Y133-O133-설정!$B$7)</f>
        <v/>
      </c>
      <c r="AA133" s="19">
        <f>IF(OR(Z133="",X133=0),"",Z133/X133)</f>
        <v/>
      </c>
      <c r="AB133" s="18">
        <f>IF(OR(T133="",O133=""),"",(T133+설정!$B$10)*(1-설정!$B$5)-O133)</f>
        <v/>
      </c>
      <c r="AC133" s="18">
        <f>IF(OR(T133="",O133=""),"",(T133+설정!$B$10)*(1-설정!$B$6)-O133)</f>
        <v/>
      </c>
      <c r="AD133" s="14">
        <f>IF(B133="","",IF(OR(O133="",T133=""),"가격 입력 필요",IF(Z133&lt;=0,"❌ 제외",IF(AND(P133="도매꾹",N133&gt;1),"⚠️ 최소수량 확인",IF(AND(AA133&gt;=설정!$B$8,Z133&gt;=설정!$B$9),"✅ 판매추천",IF(Z133&gt;0,"⚠️ 마진부족","❌ 제외"))))))</f>
        <v/>
      </c>
      <c r="AE133" s="15" t="n"/>
    </row>
    <row r="134">
      <c r="A134" s="14" t="n">
        <v>130</v>
      </c>
      <c r="B134" s="15" t="n"/>
      <c r="C134" s="15" t="n"/>
      <c r="D134" s="16" t="n"/>
      <c r="E134" s="17" t="n"/>
      <c r="F134" s="17" t="n"/>
      <c r="G134" s="18">
        <f>IF(E134="","",E134+F134)</f>
        <v/>
      </c>
      <c r="H134" s="17" t="n"/>
      <c r="I134" s="17" t="n"/>
      <c r="J134" s="18">
        <f>IF(H134="","",H134+I134)</f>
        <v/>
      </c>
      <c r="K134" s="17" t="n"/>
      <c r="L134" s="17" t="n"/>
      <c r="M134" s="18">
        <f>IF(K134="","",K134+L134)</f>
        <v/>
      </c>
      <c r="N134" s="16" t="n"/>
      <c r="O134" s="18">
        <f>IF(COUNT(G134,J134,M134)=0,"",MIN(G134,J134,M134))</f>
        <v/>
      </c>
      <c r="P134" s="14">
        <f>IF(O134="","",IF(O134=G134,"스페셜오퍼",IF(O134=J134,"도매매","도매꾹")))</f>
        <v/>
      </c>
      <c r="Q134" s="18">
        <f>IF(COUNT(G134,J134,M134)&lt;2,"",MAX(G134,J134,M134)-MIN(G134,J134,M134))</f>
        <v/>
      </c>
      <c r="R134" s="17" t="n"/>
      <c r="S134" s="17" t="n"/>
      <c r="T134" s="18">
        <f>IF(COUNT(R134,S134)=0,"",MIN(R134,S134))</f>
        <v/>
      </c>
      <c r="U134" s="19">
        <f>IF(OR(O134="",T134=""),"",O134/T134)</f>
        <v/>
      </c>
      <c r="V134" s="18">
        <f>IF(T134="","",ROUNDDOWN(T134*(1-설정!$B$3),-2))</f>
        <v/>
      </c>
      <c r="W134" s="17" t="n"/>
      <c r="X134" s="18">
        <f>IF(W134&lt;&gt;"",W134,V134)</f>
        <v/>
      </c>
      <c r="Y134" s="18">
        <f>IF(X134="","",X134*설정!$B$4)</f>
        <v/>
      </c>
      <c r="Z134" s="18">
        <f>IF(OR(X134="",O134=""),"",X134-Y134-O134-설정!$B$7)</f>
        <v/>
      </c>
      <c r="AA134" s="19">
        <f>IF(OR(Z134="",X134=0),"",Z134/X134)</f>
        <v/>
      </c>
      <c r="AB134" s="18">
        <f>IF(OR(T134="",O134=""),"",(T134+설정!$B$10)*(1-설정!$B$5)-O134)</f>
        <v/>
      </c>
      <c r="AC134" s="18">
        <f>IF(OR(T134="",O134=""),"",(T134+설정!$B$10)*(1-설정!$B$6)-O134)</f>
        <v/>
      </c>
      <c r="AD134" s="14">
        <f>IF(B134="","",IF(OR(O134="",T134=""),"가격 입력 필요",IF(Z134&lt;=0,"❌ 제외",IF(AND(P134="도매꾹",N134&gt;1),"⚠️ 최소수량 확인",IF(AND(AA134&gt;=설정!$B$8,Z134&gt;=설정!$B$9),"✅ 판매추천",IF(Z134&gt;0,"⚠️ 마진부족","❌ 제외"))))))</f>
        <v/>
      </c>
      <c r="AE134" s="15" t="n"/>
    </row>
    <row r="135">
      <c r="A135" s="14" t="n">
        <v>131</v>
      </c>
      <c r="B135" s="15" t="n"/>
      <c r="C135" s="15" t="n"/>
      <c r="D135" s="16" t="n"/>
      <c r="E135" s="17" t="n"/>
      <c r="F135" s="17" t="n"/>
      <c r="G135" s="18">
        <f>IF(E135="","",E135+F135)</f>
        <v/>
      </c>
      <c r="H135" s="17" t="n"/>
      <c r="I135" s="17" t="n"/>
      <c r="J135" s="18">
        <f>IF(H135="","",H135+I135)</f>
        <v/>
      </c>
      <c r="K135" s="17" t="n"/>
      <c r="L135" s="17" t="n"/>
      <c r="M135" s="18">
        <f>IF(K135="","",K135+L135)</f>
        <v/>
      </c>
      <c r="N135" s="16" t="n"/>
      <c r="O135" s="18">
        <f>IF(COUNT(G135,J135,M135)=0,"",MIN(G135,J135,M135))</f>
        <v/>
      </c>
      <c r="P135" s="14">
        <f>IF(O135="","",IF(O135=G135,"스페셜오퍼",IF(O135=J135,"도매매","도매꾹")))</f>
        <v/>
      </c>
      <c r="Q135" s="18">
        <f>IF(COUNT(G135,J135,M135)&lt;2,"",MAX(G135,J135,M135)-MIN(G135,J135,M135))</f>
        <v/>
      </c>
      <c r="R135" s="17" t="n"/>
      <c r="S135" s="17" t="n"/>
      <c r="T135" s="18">
        <f>IF(COUNT(R135,S135)=0,"",MIN(R135,S135))</f>
        <v/>
      </c>
      <c r="U135" s="19">
        <f>IF(OR(O135="",T135=""),"",O135/T135)</f>
        <v/>
      </c>
      <c r="V135" s="18">
        <f>IF(T135="","",ROUNDDOWN(T135*(1-설정!$B$3),-2))</f>
        <v/>
      </c>
      <c r="W135" s="17" t="n"/>
      <c r="X135" s="18">
        <f>IF(W135&lt;&gt;"",W135,V135)</f>
        <v/>
      </c>
      <c r="Y135" s="18">
        <f>IF(X135="","",X135*설정!$B$4)</f>
        <v/>
      </c>
      <c r="Z135" s="18">
        <f>IF(OR(X135="",O135=""),"",X135-Y135-O135-설정!$B$7)</f>
        <v/>
      </c>
      <c r="AA135" s="19">
        <f>IF(OR(Z135="",X135=0),"",Z135/X135)</f>
        <v/>
      </c>
      <c r="AB135" s="18">
        <f>IF(OR(T135="",O135=""),"",(T135+설정!$B$10)*(1-설정!$B$5)-O135)</f>
        <v/>
      </c>
      <c r="AC135" s="18">
        <f>IF(OR(T135="",O135=""),"",(T135+설정!$B$10)*(1-설정!$B$6)-O135)</f>
        <v/>
      </c>
      <c r="AD135" s="14">
        <f>IF(B135="","",IF(OR(O135="",T135=""),"가격 입력 필요",IF(Z135&lt;=0,"❌ 제외",IF(AND(P135="도매꾹",N135&gt;1),"⚠️ 최소수량 확인",IF(AND(AA135&gt;=설정!$B$8,Z135&gt;=설정!$B$9),"✅ 판매추천",IF(Z135&gt;0,"⚠️ 마진부족","❌ 제외"))))))</f>
        <v/>
      </c>
      <c r="AE135" s="15" t="n"/>
    </row>
    <row r="136">
      <c r="A136" s="14" t="n">
        <v>132</v>
      </c>
      <c r="B136" s="15" t="n"/>
      <c r="C136" s="15" t="n"/>
      <c r="D136" s="16" t="n"/>
      <c r="E136" s="17" t="n"/>
      <c r="F136" s="17" t="n"/>
      <c r="G136" s="18">
        <f>IF(E136="","",E136+F136)</f>
        <v/>
      </c>
      <c r="H136" s="17" t="n"/>
      <c r="I136" s="17" t="n"/>
      <c r="J136" s="18">
        <f>IF(H136="","",H136+I136)</f>
        <v/>
      </c>
      <c r="K136" s="17" t="n"/>
      <c r="L136" s="17" t="n"/>
      <c r="M136" s="18">
        <f>IF(K136="","",K136+L136)</f>
        <v/>
      </c>
      <c r="N136" s="16" t="n"/>
      <c r="O136" s="18">
        <f>IF(COUNT(G136,J136,M136)=0,"",MIN(G136,J136,M136))</f>
        <v/>
      </c>
      <c r="P136" s="14">
        <f>IF(O136="","",IF(O136=G136,"스페셜오퍼",IF(O136=J136,"도매매","도매꾹")))</f>
        <v/>
      </c>
      <c r="Q136" s="18">
        <f>IF(COUNT(G136,J136,M136)&lt;2,"",MAX(G136,J136,M136)-MIN(G136,J136,M136))</f>
        <v/>
      </c>
      <c r="R136" s="17" t="n"/>
      <c r="S136" s="17" t="n"/>
      <c r="T136" s="18">
        <f>IF(COUNT(R136,S136)=0,"",MIN(R136,S136))</f>
        <v/>
      </c>
      <c r="U136" s="19">
        <f>IF(OR(O136="",T136=""),"",O136/T136)</f>
        <v/>
      </c>
      <c r="V136" s="18">
        <f>IF(T136="","",ROUNDDOWN(T136*(1-설정!$B$3),-2))</f>
        <v/>
      </c>
      <c r="W136" s="17" t="n"/>
      <c r="X136" s="18">
        <f>IF(W136&lt;&gt;"",W136,V136)</f>
        <v/>
      </c>
      <c r="Y136" s="18">
        <f>IF(X136="","",X136*설정!$B$4)</f>
        <v/>
      </c>
      <c r="Z136" s="18">
        <f>IF(OR(X136="",O136=""),"",X136-Y136-O136-설정!$B$7)</f>
        <v/>
      </c>
      <c r="AA136" s="19">
        <f>IF(OR(Z136="",X136=0),"",Z136/X136)</f>
        <v/>
      </c>
      <c r="AB136" s="18">
        <f>IF(OR(T136="",O136=""),"",(T136+설정!$B$10)*(1-설정!$B$5)-O136)</f>
        <v/>
      </c>
      <c r="AC136" s="18">
        <f>IF(OR(T136="",O136=""),"",(T136+설정!$B$10)*(1-설정!$B$6)-O136)</f>
        <v/>
      </c>
      <c r="AD136" s="14">
        <f>IF(B136="","",IF(OR(O136="",T136=""),"가격 입력 필요",IF(Z136&lt;=0,"❌ 제외",IF(AND(P136="도매꾹",N136&gt;1),"⚠️ 최소수량 확인",IF(AND(AA136&gt;=설정!$B$8,Z136&gt;=설정!$B$9),"✅ 판매추천",IF(Z136&gt;0,"⚠️ 마진부족","❌ 제외"))))))</f>
        <v/>
      </c>
      <c r="AE136" s="15" t="n"/>
    </row>
    <row r="137">
      <c r="A137" s="14" t="n">
        <v>133</v>
      </c>
      <c r="B137" s="15" t="n"/>
      <c r="C137" s="15" t="n"/>
      <c r="D137" s="16" t="n"/>
      <c r="E137" s="17" t="n"/>
      <c r="F137" s="17" t="n"/>
      <c r="G137" s="18">
        <f>IF(E137="","",E137+F137)</f>
        <v/>
      </c>
      <c r="H137" s="17" t="n"/>
      <c r="I137" s="17" t="n"/>
      <c r="J137" s="18">
        <f>IF(H137="","",H137+I137)</f>
        <v/>
      </c>
      <c r="K137" s="17" t="n"/>
      <c r="L137" s="17" t="n"/>
      <c r="M137" s="18">
        <f>IF(K137="","",K137+L137)</f>
        <v/>
      </c>
      <c r="N137" s="16" t="n"/>
      <c r="O137" s="18">
        <f>IF(COUNT(G137,J137,M137)=0,"",MIN(G137,J137,M137))</f>
        <v/>
      </c>
      <c r="P137" s="14">
        <f>IF(O137="","",IF(O137=G137,"스페셜오퍼",IF(O137=J137,"도매매","도매꾹")))</f>
        <v/>
      </c>
      <c r="Q137" s="18">
        <f>IF(COUNT(G137,J137,M137)&lt;2,"",MAX(G137,J137,M137)-MIN(G137,J137,M137))</f>
        <v/>
      </c>
      <c r="R137" s="17" t="n"/>
      <c r="S137" s="17" t="n"/>
      <c r="T137" s="18">
        <f>IF(COUNT(R137,S137)=0,"",MIN(R137,S137))</f>
        <v/>
      </c>
      <c r="U137" s="19">
        <f>IF(OR(O137="",T137=""),"",O137/T137)</f>
        <v/>
      </c>
      <c r="V137" s="18">
        <f>IF(T137="","",ROUNDDOWN(T137*(1-설정!$B$3),-2))</f>
        <v/>
      </c>
      <c r="W137" s="17" t="n"/>
      <c r="X137" s="18">
        <f>IF(W137&lt;&gt;"",W137,V137)</f>
        <v/>
      </c>
      <c r="Y137" s="18">
        <f>IF(X137="","",X137*설정!$B$4)</f>
        <v/>
      </c>
      <c r="Z137" s="18">
        <f>IF(OR(X137="",O137=""),"",X137-Y137-O137-설정!$B$7)</f>
        <v/>
      </c>
      <c r="AA137" s="19">
        <f>IF(OR(Z137="",X137=0),"",Z137/X137)</f>
        <v/>
      </c>
      <c r="AB137" s="18">
        <f>IF(OR(T137="",O137=""),"",(T137+설정!$B$10)*(1-설정!$B$5)-O137)</f>
        <v/>
      </c>
      <c r="AC137" s="18">
        <f>IF(OR(T137="",O137=""),"",(T137+설정!$B$10)*(1-설정!$B$6)-O137)</f>
        <v/>
      </c>
      <c r="AD137" s="14">
        <f>IF(B137="","",IF(OR(O137="",T137=""),"가격 입력 필요",IF(Z137&lt;=0,"❌ 제외",IF(AND(P137="도매꾹",N137&gt;1),"⚠️ 최소수량 확인",IF(AND(AA137&gt;=설정!$B$8,Z137&gt;=설정!$B$9),"✅ 판매추천",IF(Z137&gt;0,"⚠️ 마진부족","❌ 제외"))))))</f>
        <v/>
      </c>
      <c r="AE137" s="15" t="n"/>
    </row>
    <row r="138">
      <c r="A138" s="14" t="n">
        <v>134</v>
      </c>
      <c r="B138" s="15" t="n"/>
      <c r="C138" s="15" t="n"/>
      <c r="D138" s="16" t="n"/>
      <c r="E138" s="17" t="n"/>
      <c r="F138" s="17" t="n"/>
      <c r="G138" s="18">
        <f>IF(E138="","",E138+F138)</f>
        <v/>
      </c>
      <c r="H138" s="17" t="n"/>
      <c r="I138" s="17" t="n"/>
      <c r="J138" s="18">
        <f>IF(H138="","",H138+I138)</f>
        <v/>
      </c>
      <c r="K138" s="17" t="n"/>
      <c r="L138" s="17" t="n"/>
      <c r="M138" s="18">
        <f>IF(K138="","",K138+L138)</f>
        <v/>
      </c>
      <c r="N138" s="16" t="n"/>
      <c r="O138" s="18">
        <f>IF(COUNT(G138,J138,M138)=0,"",MIN(G138,J138,M138))</f>
        <v/>
      </c>
      <c r="P138" s="14">
        <f>IF(O138="","",IF(O138=G138,"스페셜오퍼",IF(O138=J138,"도매매","도매꾹")))</f>
        <v/>
      </c>
      <c r="Q138" s="18">
        <f>IF(COUNT(G138,J138,M138)&lt;2,"",MAX(G138,J138,M138)-MIN(G138,J138,M138))</f>
        <v/>
      </c>
      <c r="R138" s="17" t="n"/>
      <c r="S138" s="17" t="n"/>
      <c r="T138" s="18">
        <f>IF(COUNT(R138,S138)=0,"",MIN(R138,S138))</f>
        <v/>
      </c>
      <c r="U138" s="19">
        <f>IF(OR(O138="",T138=""),"",O138/T138)</f>
        <v/>
      </c>
      <c r="V138" s="18">
        <f>IF(T138="","",ROUNDDOWN(T138*(1-설정!$B$3),-2))</f>
        <v/>
      </c>
      <c r="W138" s="17" t="n"/>
      <c r="X138" s="18">
        <f>IF(W138&lt;&gt;"",W138,V138)</f>
        <v/>
      </c>
      <c r="Y138" s="18">
        <f>IF(X138="","",X138*설정!$B$4)</f>
        <v/>
      </c>
      <c r="Z138" s="18">
        <f>IF(OR(X138="",O138=""),"",X138-Y138-O138-설정!$B$7)</f>
        <v/>
      </c>
      <c r="AA138" s="19">
        <f>IF(OR(Z138="",X138=0),"",Z138/X138)</f>
        <v/>
      </c>
      <c r="AB138" s="18">
        <f>IF(OR(T138="",O138=""),"",(T138+설정!$B$10)*(1-설정!$B$5)-O138)</f>
        <v/>
      </c>
      <c r="AC138" s="18">
        <f>IF(OR(T138="",O138=""),"",(T138+설정!$B$10)*(1-설정!$B$6)-O138)</f>
        <v/>
      </c>
      <c r="AD138" s="14">
        <f>IF(B138="","",IF(OR(O138="",T138=""),"가격 입력 필요",IF(Z138&lt;=0,"❌ 제외",IF(AND(P138="도매꾹",N138&gt;1),"⚠️ 최소수량 확인",IF(AND(AA138&gt;=설정!$B$8,Z138&gt;=설정!$B$9),"✅ 판매추천",IF(Z138&gt;0,"⚠️ 마진부족","❌ 제외"))))))</f>
        <v/>
      </c>
      <c r="AE138" s="15" t="n"/>
    </row>
    <row r="139">
      <c r="A139" s="14" t="n">
        <v>135</v>
      </c>
      <c r="B139" s="15" t="n"/>
      <c r="C139" s="15" t="n"/>
      <c r="D139" s="16" t="n"/>
      <c r="E139" s="17" t="n"/>
      <c r="F139" s="17" t="n"/>
      <c r="G139" s="18">
        <f>IF(E139="","",E139+F139)</f>
        <v/>
      </c>
      <c r="H139" s="17" t="n"/>
      <c r="I139" s="17" t="n"/>
      <c r="J139" s="18">
        <f>IF(H139="","",H139+I139)</f>
        <v/>
      </c>
      <c r="K139" s="17" t="n"/>
      <c r="L139" s="17" t="n"/>
      <c r="M139" s="18">
        <f>IF(K139="","",K139+L139)</f>
        <v/>
      </c>
      <c r="N139" s="16" t="n"/>
      <c r="O139" s="18">
        <f>IF(COUNT(G139,J139,M139)=0,"",MIN(G139,J139,M139))</f>
        <v/>
      </c>
      <c r="P139" s="14">
        <f>IF(O139="","",IF(O139=G139,"스페셜오퍼",IF(O139=J139,"도매매","도매꾹")))</f>
        <v/>
      </c>
      <c r="Q139" s="18">
        <f>IF(COUNT(G139,J139,M139)&lt;2,"",MAX(G139,J139,M139)-MIN(G139,J139,M139))</f>
        <v/>
      </c>
      <c r="R139" s="17" t="n"/>
      <c r="S139" s="17" t="n"/>
      <c r="T139" s="18">
        <f>IF(COUNT(R139,S139)=0,"",MIN(R139,S139))</f>
        <v/>
      </c>
      <c r="U139" s="19">
        <f>IF(OR(O139="",T139=""),"",O139/T139)</f>
        <v/>
      </c>
      <c r="V139" s="18">
        <f>IF(T139="","",ROUNDDOWN(T139*(1-설정!$B$3),-2))</f>
        <v/>
      </c>
      <c r="W139" s="17" t="n"/>
      <c r="X139" s="18">
        <f>IF(W139&lt;&gt;"",W139,V139)</f>
        <v/>
      </c>
      <c r="Y139" s="18">
        <f>IF(X139="","",X139*설정!$B$4)</f>
        <v/>
      </c>
      <c r="Z139" s="18">
        <f>IF(OR(X139="",O139=""),"",X139-Y139-O139-설정!$B$7)</f>
        <v/>
      </c>
      <c r="AA139" s="19">
        <f>IF(OR(Z139="",X139=0),"",Z139/X139)</f>
        <v/>
      </c>
      <c r="AB139" s="18">
        <f>IF(OR(T139="",O139=""),"",(T139+설정!$B$10)*(1-설정!$B$5)-O139)</f>
        <v/>
      </c>
      <c r="AC139" s="18">
        <f>IF(OR(T139="",O139=""),"",(T139+설정!$B$10)*(1-설정!$B$6)-O139)</f>
        <v/>
      </c>
      <c r="AD139" s="14">
        <f>IF(B139="","",IF(OR(O139="",T139=""),"가격 입력 필요",IF(Z139&lt;=0,"❌ 제외",IF(AND(P139="도매꾹",N139&gt;1),"⚠️ 최소수량 확인",IF(AND(AA139&gt;=설정!$B$8,Z139&gt;=설정!$B$9),"✅ 판매추천",IF(Z139&gt;0,"⚠️ 마진부족","❌ 제외"))))))</f>
        <v/>
      </c>
      <c r="AE139" s="15" t="n"/>
    </row>
    <row r="140">
      <c r="A140" s="14" t="n">
        <v>136</v>
      </c>
      <c r="B140" s="15" t="n"/>
      <c r="C140" s="15" t="n"/>
      <c r="D140" s="16" t="n"/>
      <c r="E140" s="17" t="n"/>
      <c r="F140" s="17" t="n"/>
      <c r="G140" s="18">
        <f>IF(E140="","",E140+F140)</f>
        <v/>
      </c>
      <c r="H140" s="17" t="n"/>
      <c r="I140" s="17" t="n"/>
      <c r="J140" s="18">
        <f>IF(H140="","",H140+I140)</f>
        <v/>
      </c>
      <c r="K140" s="17" t="n"/>
      <c r="L140" s="17" t="n"/>
      <c r="M140" s="18">
        <f>IF(K140="","",K140+L140)</f>
        <v/>
      </c>
      <c r="N140" s="16" t="n"/>
      <c r="O140" s="18">
        <f>IF(COUNT(G140,J140,M140)=0,"",MIN(G140,J140,M140))</f>
        <v/>
      </c>
      <c r="P140" s="14">
        <f>IF(O140="","",IF(O140=G140,"스페셜오퍼",IF(O140=J140,"도매매","도매꾹")))</f>
        <v/>
      </c>
      <c r="Q140" s="18">
        <f>IF(COUNT(G140,J140,M140)&lt;2,"",MAX(G140,J140,M140)-MIN(G140,J140,M140))</f>
        <v/>
      </c>
      <c r="R140" s="17" t="n"/>
      <c r="S140" s="17" t="n"/>
      <c r="T140" s="18">
        <f>IF(COUNT(R140,S140)=0,"",MIN(R140,S140))</f>
        <v/>
      </c>
      <c r="U140" s="19">
        <f>IF(OR(O140="",T140=""),"",O140/T140)</f>
        <v/>
      </c>
      <c r="V140" s="18">
        <f>IF(T140="","",ROUNDDOWN(T140*(1-설정!$B$3),-2))</f>
        <v/>
      </c>
      <c r="W140" s="17" t="n"/>
      <c r="X140" s="18">
        <f>IF(W140&lt;&gt;"",W140,V140)</f>
        <v/>
      </c>
      <c r="Y140" s="18">
        <f>IF(X140="","",X140*설정!$B$4)</f>
        <v/>
      </c>
      <c r="Z140" s="18">
        <f>IF(OR(X140="",O140=""),"",X140-Y140-O140-설정!$B$7)</f>
        <v/>
      </c>
      <c r="AA140" s="19">
        <f>IF(OR(Z140="",X140=0),"",Z140/X140)</f>
        <v/>
      </c>
      <c r="AB140" s="18">
        <f>IF(OR(T140="",O140=""),"",(T140+설정!$B$10)*(1-설정!$B$5)-O140)</f>
        <v/>
      </c>
      <c r="AC140" s="18">
        <f>IF(OR(T140="",O140=""),"",(T140+설정!$B$10)*(1-설정!$B$6)-O140)</f>
        <v/>
      </c>
      <c r="AD140" s="14">
        <f>IF(B140="","",IF(OR(O140="",T140=""),"가격 입력 필요",IF(Z140&lt;=0,"❌ 제외",IF(AND(P140="도매꾹",N140&gt;1),"⚠️ 최소수량 확인",IF(AND(AA140&gt;=설정!$B$8,Z140&gt;=설정!$B$9),"✅ 판매추천",IF(Z140&gt;0,"⚠️ 마진부족","❌ 제외"))))))</f>
        <v/>
      </c>
      <c r="AE140" s="15" t="n"/>
    </row>
    <row r="141">
      <c r="A141" s="14" t="n">
        <v>137</v>
      </c>
      <c r="B141" s="15" t="n"/>
      <c r="C141" s="15" t="n"/>
      <c r="D141" s="16" t="n"/>
      <c r="E141" s="17" t="n"/>
      <c r="F141" s="17" t="n"/>
      <c r="G141" s="18">
        <f>IF(E141="","",E141+F141)</f>
        <v/>
      </c>
      <c r="H141" s="17" t="n"/>
      <c r="I141" s="17" t="n"/>
      <c r="J141" s="18">
        <f>IF(H141="","",H141+I141)</f>
        <v/>
      </c>
      <c r="K141" s="17" t="n"/>
      <c r="L141" s="17" t="n"/>
      <c r="M141" s="18">
        <f>IF(K141="","",K141+L141)</f>
        <v/>
      </c>
      <c r="N141" s="16" t="n"/>
      <c r="O141" s="18">
        <f>IF(COUNT(G141,J141,M141)=0,"",MIN(G141,J141,M141))</f>
        <v/>
      </c>
      <c r="P141" s="14">
        <f>IF(O141="","",IF(O141=G141,"스페셜오퍼",IF(O141=J141,"도매매","도매꾹")))</f>
        <v/>
      </c>
      <c r="Q141" s="18">
        <f>IF(COUNT(G141,J141,M141)&lt;2,"",MAX(G141,J141,M141)-MIN(G141,J141,M141))</f>
        <v/>
      </c>
      <c r="R141" s="17" t="n"/>
      <c r="S141" s="17" t="n"/>
      <c r="T141" s="18">
        <f>IF(COUNT(R141,S141)=0,"",MIN(R141,S141))</f>
        <v/>
      </c>
      <c r="U141" s="19">
        <f>IF(OR(O141="",T141=""),"",O141/T141)</f>
        <v/>
      </c>
      <c r="V141" s="18">
        <f>IF(T141="","",ROUNDDOWN(T141*(1-설정!$B$3),-2))</f>
        <v/>
      </c>
      <c r="W141" s="17" t="n"/>
      <c r="X141" s="18">
        <f>IF(W141&lt;&gt;"",W141,V141)</f>
        <v/>
      </c>
      <c r="Y141" s="18">
        <f>IF(X141="","",X141*설정!$B$4)</f>
        <v/>
      </c>
      <c r="Z141" s="18">
        <f>IF(OR(X141="",O141=""),"",X141-Y141-O141-설정!$B$7)</f>
        <v/>
      </c>
      <c r="AA141" s="19">
        <f>IF(OR(Z141="",X141=0),"",Z141/X141)</f>
        <v/>
      </c>
      <c r="AB141" s="18">
        <f>IF(OR(T141="",O141=""),"",(T141+설정!$B$10)*(1-설정!$B$5)-O141)</f>
        <v/>
      </c>
      <c r="AC141" s="18">
        <f>IF(OR(T141="",O141=""),"",(T141+설정!$B$10)*(1-설정!$B$6)-O141)</f>
        <v/>
      </c>
      <c r="AD141" s="14">
        <f>IF(B141="","",IF(OR(O141="",T141=""),"가격 입력 필요",IF(Z141&lt;=0,"❌ 제외",IF(AND(P141="도매꾹",N141&gt;1),"⚠️ 최소수량 확인",IF(AND(AA141&gt;=설정!$B$8,Z141&gt;=설정!$B$9),"✅ 판매추천",IF(Z141&gt;0,"⚠️ 마진부족","❌ 제외"))))))</f>
        <v/>
      </c>
      <c r="AE141" s="15" t="n"/>
    </row>
    <row r="142">
      <c r="A142" s="14" t="n">
        <v>138</v>
      </c>
      <c r="B142" s="15" t="n"/>
      <c r="C142" s="15" t="n"/>
      <c r="D142" s="16" t="n"/>
      <c r="E142" s="17" t="n"/>
      <c r="F142" s="17" t="n"/>
      <c r="G142" s="18">
        <f>IF(E142="","",E142+F142)</f>
        <v/>
      </c>
      <c r="H142" s="17" t="n"/>
      <c r="I142" s="17" t="n"/>
      <c r="J142" s="18">
        <f>IF(H142="","",H142+I142)</f>
        <v/>
      </c>
      <c r="K142" s="17" t="n"/>
      <c r="L142" s="17" t="n"/>
      <c r="M142" s="18">
        <f>IF(K142="","",K142+L142)</f>
        <v/>
      </c>
      <c r="N142" s="16" t="n"/>
      <c r="O142" s="18">
        <f>IF(COUNT(G142,J142,M142)=0,"",MIN(G142,J142,M142))</f>
        <v/>
      </c>
      <c r="P142" s="14">
        <f>IF(O142="","",IF(O142=G142,"스페셜오퍼",IF(O142=J142,"도매매","도매꾹")))</f>
        <v/>
      </c>
      <c r="Q142" s="18">
        <f>IF(COUNT(G142,J142,M142)&lt;2,"",MAX(G142,J142,M142)-MIN(G142,J142,M142))</f>
        <v/>
      </c>
      <c r="R142" s="17" t="n"/>
      <c r="S142" s="17" t="n"/>
      <c r="T142" s="18">
        <f>IF(COUNT(R142,S142)=0,"",MIN(R142,S142))</f>
        <v/>
      </c>
      <c r="U142" s="19">
        <f>IF(OR(O142="",T142=""),"",O142/T142)</f>
        <v/>
      </c>
      <c r="V142" s="18">
        <f>IF(T142="","",ROUNDDOWN(T142*(1-설정!$B$3),-2))</f>
        <v/>
      </c>
      <c r="W142" s="17" t="n"/>
      <c r="X142" s="18">
        <f>IF(W142&lt;&gt;"",W142,V142)</f>
        <v/>
      </c>
      <c r="Y142" s="18">
        <f>IF(X142="","",X142*설정!$B$4)</f>
        <v/>
      </c>
      <c r="Z142" s="18">
        <f>IF(OR(X142="",O142=""),"",X142-Y142-O142-설정!$B$7)</f>
        <v/>
      </c>
      <c r="AA142" s="19">
        <f>IF(OR(Z142="",X142=0),"",Z142/X142)</f>
        <v/>
      </c>
      <c r="AB142" s="18">
        <f>IF(OR(T142="",O142=""),"",(T142+설정!$B$10)*(1-설정!$B$5)-O142)</f>
        <v/>
      </c>
      <c r="AC142" s="18">
        <f>IF(OR(T142="",O142=""),"",(T142+설정!$B$10)*(1-설정!$B$6)-O142)</f>
        <v/>
      </c>
      <c r="AD142" s="14">
        <f>IF(B142="","",IF(OR(O142="",T142=""),"가격 입력 필요",IF(Z142&lt;=0,"❌ 제외",IF(AND(P142="도매꾹",N142&gt;1),"⚠️ 최소수량 확인",IF(AND(AA142&gt;=설정!$B$8,Z142&gt;=설정!$B$9),"✅ 판매추천",IF(Z142&gt;0,"⚠️ 마진부족","❌ 제외"))))))</f>
        <v/>
      </c>
      <c r="AE142" s="15" t="n"/>
    </row>
    <row r="143">
      <c r="A143" s="14" t="n">
        <v>139</v>
      </c>
      <c r="B143" s="15" t="n"/>
      <c r="C143" s="15" t="n"/>
      <c r="D143" s="16" t="n"/>
      <c r="E143" s="17" t="n"/>
      <c r="F143" s="17" t="n"/>
      <c r="G143" s="18">
        <f>IF(E143="","",E143+F143)</f>
        <v/>
      </c>
      <c r="H143" s="17" t="n"/>
      <c r="I143" s="17" t="n"/>
      <c r="J143" s="18">
        <f>IF(H143="","",H143+I143)</f>
        <v/>
      </c>
      <c r="K143" s="17" t="n"/>
      <c r="L143" s="17" t="n"/>
      <c r="M143" s="18">
        <f>IF(K143="","",K143+L143)</f>
        <v/>
      </c>
      <c r="N143" s="16" t="n"/>
      <c r="O143" s="18">
        <f>IF(COUNT(G143,J143,M143)=0,"",MIN(G143,J143,M143))</f>
        <v/>
      </c>
      <c r="P143" s="14">
        <f>IF(O143="","",IF(O143=G143,"스페셜오퍼",IF(O143=J143,"도매매","도매꾹")))</f>
        <v/>
      </c>
      <c r="Q143" s="18">
        <f>IF(COUNT(G143,J143,M143)&lt;2,"",MAX(G143,J143,M143)-MIN(G143,J143,M143))</f>
        <v/>
      </c>
      <c r="R143" s="17" t="n"/>
      <c r="S143" s="17" t="n"/>
      <c r="T143" s="18">
        <f>IF(COUNT(R143,S143)=0,"",MIN(R143,S143))</f>
        <v/>
      </c>
      <c r="U143" s="19">
        <f>IF(OR(O143="",T143=""),"",O143/T143)</f>
        <v/>
      </c>
      <c r="V143" s="18">
        <f>IF(T143="","",ROUNDDOWN(T143*(1-설정!$B$3),-2))</f>
        <v/>
      </c>
      <c r="W143" s="17" t="n"/>
      <c r="X143" s="18">
        <f>IF(W143&lt;&gt;"",W143,V143)</f>
        <v/>
      </c>
      <c r="Y143" s="18">
        <f>IF(X143="","",X143*설정!$B$4)</f>
        <v/>
      </c>
      <c r="Z143" s="18">
        <f>IF(OR(X143="",O143=""),"",X143-Y143-O143-설정!$B$7)</f>
        <v/>
      </c>
      <c r="AA143" s="19">
        <f>IF(OR(Z143="",X143=0),"",Z143/X143)</f>
        <v/>
      </c>
      <c r="AB143" s="18">
        <f>IF(OR(T143="",O143=""),"",(T143+설정!$B$10)*(1-설정!$B$5)-O143)</f>
        <v/>
      </c>
      <c r="AC143" s="18">
        <f>IF(OR(T143="",O143=""),"",(T143+설정!$B$10)*(1-설정!$B$6)-O143)</f>
        <v/>
      </c>
      <c r="AD143" s="14">
        <f>IF(B143="","",IF(OR(O143="",T143=""),"가격 입력 필요",IF(Z143&lt;=0,"❌ 제외",IF(AND(P143="도매꾹",N143&gt;1),"⚠️ 최소수량 확인",IF(AND(AA143&gt;=설정!$B$8,Z143&gt;=설정!$B$9),"✅ 판매추천",IF(Z143&gt;0,"⚠️ 마진부족","❌ 제외"))))))</f>
        <v/>
      </c>
      <c r="AE143" s="15" t="n"/>
    </row>
    <row r="144">
      <c r="A144" s="14" t="n">
        <v>140</v>
      </c>
      <c r="B144" s="15" t="n"/>
      <c r="C144" s="15" t="n"/>
      <c r="D144" s="16" t="n"/>
      <c r="E144" s="17" t="n"/>
      <c r="F144" s="17" t="n"/>
      <c r="G144" s="18">
        <f>IF(E144="","",E144+F144)</f>
        <v/>
      </c>
      <c r="H144" s="17" t="n"/>
      <c r="I144" s="17" t="n"/>
      <c r="J144" s="18">
        <f>IF(H144="","",H144+I144)</f>
        <v/>
      </c>
      <c r="K144" s="17" t="n"/>
      <c r="L144" s="17" t="n"/>
      <c r="M144" s="18">
        <f>IF(K144="","",K144+L144)</f>
        <v/>
      </c>
      <c r="N144" s="16" t="n"/>
      <c r="O144" s="18">
        <f>IF(COUNT(G144,J144,M144)=0,"",MIN(G144,J144,M144))</f>
        <v/>
      </c>
      <c r="P144" s="14">
        <f>IF(O144="","",IF(O144=G144,"스페셜오퍼",IF(O144=J144,"도매매","도매꾹")))</f>
        <v/>
      </c>
      <c r="Q144" s="18">
        <f>IF(COUNT(G144,J144,M144)&lt;2,"",MAX(G144,J144,M144)-MIN(G144,J144,M144))</f>
        <v/>
      </c>
      <c r="R144" s="17" t="n"/>
      <c r="S144" s="17" t="n"/>
      <c r="T144" s="18">
        <f>IF(COUNT(R144,S144)=0,"",MIN(R144,S144))</f>
        <v/>
      </c>
      <c r="U144" s="19">
        <f>IF(OR(O144="",T144=""),"",O144/T144)</f>
        <v/>
      </c>
      <c r="V144" s="18">
        <f>IF(T144="","",ROUNDDOWN(T144*(1-설정!$B$3),-2))</f>
        <v/>
      </c>
      <c r="W144" s="17" t="n"/>
      <c r="X144" s="18">
        <f>IF(W144&lt;&gt;"",W144,V144)</f>
        <v/>
      </c>
      <c r="Y144" s="18">
        <f>IF(X144="","",X144*설정!$B$4)</f>
        <v/>
      </c>
      <c r="Z144" s="18">
        <f>IF(OR(X144="",O144=""),"",X144-Y144-O144-설정!$B$7)</f>
        <v/>
      </c>
      <c r="AA144" s="19">
        <f>IF(OR(Z144="",X144=0),"",Z144/X144)</f>
        <v/>
      </c>
      <c r="AB144" s="18">
        <f>IF(OR(T144="",O144=""),"",(T144+설정!$B$10)*(1-설정!$B$5)-O144)</f>
        <v/>
      </c>
      <c r="AC144" s="18">
        <f>IF(OR(T144="",O144=""),"",(T144+설정!$B$10)*(1-설정!$B$6)-O144)</f>
        <v/>
      </c>
      <c r="AD144" s="14">
        <f>IF(B144="","",IF(OR(O144="",T144=""),"가격 입력 필요",IF(Z144&lt;=0,"❌ 제외",IF(AND(P144="도매꾹",N144&gt;1),"⚠️ 최소수량 확인",IF(AND(AA144&gt;=설정!$B$8,Z144&gt;=설정!$B$9),"✅ 판매추천",IF(Z144&gt;0,"⚠️ 마진부족","❌ 제외"))))))</f>
        <v/>
      </c>
      <c r="AE144" s="15" t="n"/>
    </row>
    <row r="145">
      <c r="A145" s="14" t="n">
        <v>141</v>
      </c>
      <c r="B145" s="15" t="n"/>
      <c r="C145" s="15" t="n"/>
      <c r="D145" s="16" t="n"/>
      <c r="E145" s="17" t="n"/>
      <c r="F145" s="17" t="n"/>
      <c r="G145" s="18">
        <f>IF(E145="","",E145+F145)</f>
        <v/>
      </c>
      <c r="H145" s="17" t="n"/>
      <c r="I145" s="17" t="n"/>
      <c r="J145" s="18">
        <f>IF(H145="","",H145+I145)</f>
        <v/>
      </c>
      <c r="K145" s="17" t="n"/>
      <c r="L145" s="17" t="n"/>
      <c r="M145" s="18">
        <f>IF(K145="","",K145+L145)</f>
        <v/>
      </c>
      <c r="N145" s="16" t="n"/>
      <c r="O145" s="18">
        <f>IF(COUNT(G145,J145,M145)=0,"",MIN(G145,J145,M145))</f>
        <v/>
      </c>
      <c r="P145" s="14">
        <f>IF(O145="","",IF(O145=G145,"스페셜오퍼",IF(O145=J145,"도매매","도매꾹")))</f>
        <v/>
      </c>
      <c r="Q145" s="18">
        <f>IF(COUNT(G145,J145,M145)&lt;2,"",MAX(G145,J145,M145)-MIN(G145,J145,M145))</f>
        <v/>
      </c>
      <c r="R145" s="17" t="n"/>
      <c r="S145" s="17" t="n"/>
      <c r="T145" s="18">
        <f>IF(COUNT(R145,S145)=0,"",MIN(R145,S145))</f>
        <v/>
      </c>
      <c r="U145" s="19">
        <f>IF(OR(O145="",T145=""),"",O145/T145)</f>
        <v/>
      </c>
      <c r="V145" s="18">
        <f>IF(T145="","",ROUNDDOWN(T145*(1-설정!$B$3),-2))</f>
        <v/>
      </c>
      <c r="W145" s="17" t="n"/>
      <c r="X145" s="18">
        <f>IF(W145&lt;&gt;"",W145,V145)</f>
        <v/>
      </c>
      <c r="Y145" s="18">
        <f>IF(X145="","",X145*설정!$B$4)</f>
        <v/>
      </c>
      <c r="Z145" s="18">
        <f>IF(OR(X145="",O145=""),"",X145-Y145-O145-설정!$B$7)</f>
        <v/>
      </c>
      <c r="AA145" s="19">
        <f>IF(OR(Z145="",X145=0),"",Z145/X145)</f>
        <v/>
      </c>
      <c r="AB145" s="18">
        <f>IF(OR(T145="",O145=""),"",(T145+설정!$B$10)*(1-설정!$B$5)-O145)</f>
        <v/>
      </c>
      <c r="AC145" s="18">
        <f>IF(OR(T145="",O145=""),"",(T145+설정!$B$10)*(1-설정!$B$6)-O145)</f>
        <v/>
      </c>
      <c r="AD145" s="14">
        <f>IF(B145="","",IF(OR(O145="",T145=""),"가격 입력 필요",IF(Z145&lt;=0,"❌ 제외",IF(AND(P145="도매꾹",N145&gt;1),"⚠️ 최소수량 확인",IF(AND(AA145&gt;=설정!$B$8,Z145&gt;=설정!$B$9),"✅ 판매추천",IF(Z145&gt;0,"⚠️ 마진부족","❌ 제외"))))))</f>
        <v/>
      </c>
      <c r="AE145" s="15" t="n"/>
    </row>
    <row r="146">
      <c r="A146" s="14" t="n">
        <v>142</v>
      </c>
      <c r="B146" s="15" t="n"/>
      <c r="C146" s="15" t="n"/>
      <c r="D146" s="16" t="n"/>
      <c r="E146" s="17" t="n"/>
      <c r="F146" s="17" t="n"/>
      <c r="G146" s="18">
        <f>IF(E146="","",E146+F146)</f>
        <v/>
      </c>
      <c r="H146" s="17" t="n"/>
      <c r="I146" s="17" t="n"/>
      <c r="J146" s="18">
        <f>IF(H146="","",H146+I146)</f>
        <v/>
      </c>
      <c r="K146" s="17" t="n"/>
      <c r="L146" s="17" t="n"/>
      <c r="M146" s="18">
        <f>IF(K146="","",K146+L146)</f>
        <v/>
      </c>
      <c r="N146" s="16" t="n"/>
      <c r="O146" s="18">
        <f>IF(COUNT(G146,J146,M146)=0,"",MIN(G146,J146,M146))</f>
        <v/>
      </c>
      <c r="P146" s="14">
        <f>IF(O146="","",IF(O146=G146,"스페셜오퍼",IF(O146=J146,"도매매","도매꾹")))</f>
        <v/>
      </c>
      <c r="Q146" s="18">
        <f>IF(COUNT(G146,J146,M146)&lt;2,"",MAX(G146,J146,M146)-MIN(G146,J146,M146))</f>
        <v/>
      </c>
      <c r="R146" s="17" t="n"/>
      <c r="S146" s="17" t="n"/>
      <c r="T146" s="18">
        <f>IF(COUNT(R146,S146)=0,"",MIN(R146,S146))</f>
        <v/>
      </c>
      <c r="U146" s="19">
        <f>IF(OR(O146="",T146=""),"",O146/T146)</f>
        <v/>
      </c>
      <c r="V146" s="18">
        <f>IF(T146="","",ROUNDDOWN(T146*(1-설정!$B$3),-2))</f>
        <v/>
      </c>
      <c r="W146" s="17" t="n"/>
      <c r="X146" s="18">
        <f>IF(W146&lt;&gt;"",W146,V146)</f>
        <v/>
      </c>
      <c r="Y146" s="18">
        <f>IF(X146="","",X146*설정!$B$4)</f>
        <v/>
      </c>
      <c r="Z146" s="18">
        <f>IF(OR(X146="",O146=""),"",X146-Y146-O146-설정!$B$7)</f>
        <v/>
      </c>
      <c r="AA146" s="19">
        <f>IF(OR(Z146="",X146=0),"",Z146/X146)</f>
        <v/>
      </c>
      <c r="AB146" s="18">
        <f>IF(OR(T146="",O146=""),"",(T146+설정!$B$10)*(1-설정!$B$5)-O146)</f>
        <v/>
      </c>
      <c r="AC146" s="18">
        <f>IF(OR(T146="",O146=""),"",(T146+설정!$B$10)*(1-설정!$B$6)-O146)</f>
        <v/>
      </c>
      <c r="AD146" s="14">
        <f>IF(B146="","",IF(OR(O146="",T146=""),"가격 입력 필요",IF(Z146&lt;=0,"❌ 제외",IF(AND(P146="도매꾹",N146&gt;1),"⚠️ 최소수량 확인",IF(AND(AA146&gt;=설정!$B$8,Z146&gt;=설정!$B$9),"✅ 판매추천",IF(Z146&gt;0,"⚠️ 마진부족","❌ 제외"))))))</f>
        <v/>
      </c>
      <c r="AE146" s="15" t="n"/>
    </row>
    <row r="147">
      <c r="A147" s="14" t="n">
        <v>143</v>
      </c>
      <c r="B147" s="15" t="n"/>
      <c r="C147" s="15" t="n"/>
      <c r="D147" s="16" t="n"/>
      <c r="E147" s="17" t="n"/>
      <c r="F147" s="17" t="n"/>
      <c r="G147" s="18">
        <f>IF(E147="","",E147+F147)</f>
        <v/>
      </c>
      <c r="H147" s="17" t="n"/>
      <c r="I147" s="17" t="n"/>
      <c r="J147" s="18">
        <f>IF(H147="","",H147+I147)</f>
        <v/>
      </c>
      <c r="K147" s="17" t="n"/>
      <c r="L147" s="17" t="n"/>
      <c r="M147" s="18">
        <f>IF(K147="","",K147+L147)</f>
        <v/>
      </c>
      <c r="N147" s="16" t="n"/>
      <c r="O147" s="18">
        <f>IF(COUNT(G147,J147,M147)=0,"",MIN(G147,J147,M147))</f>
        <v/>
      </c>
      <c r="P147" s="14">
        <f>IF(O147="","",IF(O147=G147,"스페셜오퍼",IF(O147=J147,"도매매","도매꾹")))</f>
        <v/>
      </c>
      <c r="Q147" s="18">
        <f>IF(COUNT(G147,J147,M147)&lt;2,"",MAX(G147,J147,M147)-MIN(G147,J147,M147))</f>
        <v/>
      </c>
      <c r="R147" s="17" t="n"/>
      <c r="S147" s="17" t="n"/>
      <c r="T147" s="18">
        <f>IF(COUNT(R147,S147)=0,"",MIN(R147,S147))</f>
        <v/>
      </c>
      <c r="U147" s="19">
        <f>IF(OR(O147="",T147=""),"",O147/T147)</f>
        <v/>
      </c>
      <c r="V147" s="18">
        <f>IF(T147="","",ROUNDDOWN(T147*(1-설정!$B$3),-2))</f>
        <v/>
      </c>
      <c r="W147" s="17" t="n"/>
      <c r="X147" s="18">
        <f>IF(W147&lt;&gt;"",W147,V147)</f>
        <v/>
      </c>
      <c r="Y147" s="18">
        <f>IF(X147="","",X147*설정!$B$4)</f>
        <v/>
      </c>
      <c r="Z147" s="18">
        <f>IF(OR(X147="",O147=""),"",X147-Y147-O147-설정!$B$7)</f>
        <v/>
      </c>
      <c r="AA147" s="19">
        <f>IF(OR(Z147="",X147=0),"",Z147/X147)</f>
        <v/>
      </c>
      <c r="AB147" s="18">
        <f>IF(OR(T147="",O147=""),"",(T147+설정!$B$10)*(1-설정!$B$5)-O147)</f>
        <v/>
      </c>
      <c r="AC147" s="18">
        <f>IF(OR(T147="",O147=""),"",(T147+설정!$B$10)*(1-설정!$B$6)-O147)</f>
        <v/>
      </c>
      <c r="AD147" s="14">
        <f>IF(B147="","",IF(OR(O147="",T147=""),"가격 입력 필요",IF(Z147&lt;=0,"❌ 제외",IF(AND(P147="도매꾹",N147&gt;1),"⚠️ 최소수량 확인",IF(AND(AA147&gt;=설정!$B$8,Z147&gt;=설정!$B$9),"✅ 판매추천",IF(Z147&gt;0,"⚠️ 마진부족","❌ 제외"))))))</f>
        <v/>
      </c>
      <c r="AE147" s="15" t="n"/>
    </row>
    <row r="148">
      <c r="A148" s="14" t="n">
        <v>144</v>
      </c>
      <c r="B148" s="15" t="n"/>
      <c r="C148" s="15" t="n"/>
      <c r="D148" s="16" t="n"/>
      <c r="E148" s="17" t="n"/>
      <c r="F148" s="17" t="n"/>
      <c r="G148" s="18">
        <f>IF(E148="","",E148+F148)</f>
        <v/>
      </c>
      <c r="H148" s="17" t="n"/>
      <c r="I148" s="17" t="n"/>
      <c r="J148" s="18">
        <f>IF(H148="","",H148+I148)</f>
        <v/>
      </c>
      <c r="K148" s="17" t="n"/>
      <c r="L148" s="17" t="n"/>
      <c r="M148" s="18">
        <f>IF(K148="","",K148+L148)</f>
        <v/>
      </c>
      <c r="N148" s="16" t="n"/>
      <c r="O148" s="18">
        <f>IF(COUNT(G148,J148,M148)=0,"",MIN(G148,J148,M148))</f>
        <v/>
      </c>
      <c r="P148" s="14">
        <f>IF(O148="","",IF(O148=G148,"스페셜오퍼",IF(O148=J148,"도매매","도매꾹")))</f>
        <v/>
      </c>
      <c r="Q148" s="18">
        <f>IF(COUNT(G148,J148,M148)&lt;2,"",MAX(G148,J148,M148)-MIN(G148,J148,M148))</f>
        <v/>
      </c>
      <c r="R148" s="17" t="n"/>
      <c r="S148" s="17" t="n"/>
      <c r="T148" s="18">
        <f>IF(COUNT(R148,S148)=0,"",MIN(R148,S148))</f>
        <v/>
      </c>
      <c r="U148" s="19">
        <f>IF(OR(O148="",T148=""),"",O148/T148)</f>
        <v/>
      </c>
      <c r="V148" s="18">
        <f>IF(T148="","",ROUNDDOWN(T148*(1-설정!$B$3),-2))</f>
        <v/>
      </c>
      <c r="W148" s="17" t="n"/>
      <c r="X148" s="18">
        <f>IF(W148&lt;&gt;"",W148,V148)</f>
        <v/>
      </c>
      <c r="Y148" s="18">
        <f>IF(X148="","",X148*설정!$B$4)</f>
        <v/>
      </c>
      <c r="Z148" s="18">
        <f>IF(OR(X148="",O148=""),"",X148-Y148-O148-설정!$B$7)</f>
        <v/>
      </c>
      <c r="AA148" s="19">
        <f>IF(OR(Z148="",X148=0),"",Z148/X148)</f>
        <v/>
      </c>
      <c r="AB148" s="18">
        <f>IF(OR(T148="",O148=""),"",(T148+설정!$B$10)*(1-설정!$B$5)-O148)</f>
        <v/>
      </c>
      <c r="AC148" s="18">
        <f>IF(OR(T148="",O148=""),"",(T148+설정!$B$10)*(1-설정!$B$6)-O148)</f>
        <v/>
      </c>
      <c r="AD148" s="14">
        <f>IF(B148="","",IF(OR(O148="",T148=""),"가격 입력 필요",IF(Z148&lt;=0,"❌ 제외",IF(AND(P148="도매꾹",N148&gt;1),"⚠️ 최소수량 확인",IF(AND(AA148&gt;=설정!$B$8,Z148&gt;=설정!$B$9),"✅ 판매추천",IF(Z148&gt;0,"⚠️ 마진부족","❌ 제외"))))))</f>
        <v/>
      </c>
      <c r="AE148" s="15" t="n"/>
    </row>
    <row r="149">
      <c r="A149" s="14" t="n">
        <v>145</v>
      </c>
      <c r="B149" s="15" t="n"/>
      <c r="C149" s="15" t="n"/>
      <c r="D149" s="16" t="n"/>
      <c r="E149" s="17" t="n"/>
      <c r="F149" s="17" t="n"/>
      <c r="G149" s="18">
        <f>IF(E149="","",E149+F149)</f>
        <v/>
      </c>
      <c r="H149" s="17" t="n"/>
      <c r="I149" s="17" t="n"/>
      <c r="J149" s="18">
        <f>IF(H149="","",H149+I149)</f>
        <v/>
      </c>
      <c r="K149" s="17" t="n"/>
      <c r="L149" s="17" t="n"/>
      <c r="M149" s="18">
        <f>IF(K149="","",K149+L149)</f>
        <v/>
      </c>
      <c r="N149" s="16" t="n"/>
      <c r="O149" s="18">
        <f>IF(COUNT(G149,J149,M149)=0,"",MIN(G149,J149,M149))</f>
        <v/>
      </c>
      <c r="P149" s="14">
        <f>IF(O149="","",IF(O149=G149,"스페셜오퍼",IF(O149=J149,"도매매","도매꾹")))</f>
        <v/>
      </c>
      <c r="Q149" s="18">
        <f>IF(COUNT(G149,J149,M149)&lt;2,"",MAX(G149,J149,M149)-MIN(G149,J149,M149))</f>
        <v/>
      </c>
      <c r="R149" s="17" t="n"/>
      <c r="S149" s="17" t="n"/>
      <c r="T149" s="18">
        <f>IF(COUNT(R149,S149)=0,"",MIN(R149,S149))</f>
        <v/>
      </c>
      <c r="U149" s="19">
        <f>IF(OR(O149="",T149=""),"",O149/T149)</f>
        <v/>
      </c>
      <c r="V149" s="18">
        <f>IF(T149="","",ROUNDDOWN(T149*(1-설정!$B$3),-2))</f>
        <v/>
      </c>
      <c r="W149" s="17" t="n"/>
      <c r="X149" s="18">
        <f>IF(W149&lt;&gt;"",W149,V149)</f>
        <v/>
      </c>
      <c r="Y149" s="18">
        <f>IF(X149="","",X149*설정!$B$4)</f>
        <v/>
      </c>
      <c r="Z149" s="18">
        <f>IF(OR(X149="",O149=""),"",X149-Y149-O149-설정!$B$7)</f>
        <v/>
      </c>
      <c r="AA149" s="19">
        <f>IF(OR(Z149="",X149=0),"",Z149/X149)</f>
        <v/>
      </c>
      <c r="AB149" s="18">
        <f>IF(OR(T149="",O149=""),"",(T149+설정!$B$10)*(1-설정!$B$5)-O149)</f>
        <v/>
      </c>
      <c r="AC149" s="18">
        <f>IF(OR(T149="",O149=""),"",(T149+설정!$B$10)*(1-설정!$B$6)-O149)</f>
        <v/>
      </c>
      <c r="AD149" s="14">
        <f>IF(B149="","",IF(OR(O149="",T149=""),"가격 입력 필요",IF(Z149&lt;=0,"❌ 제외",IF(AND(P149="도매꾹",N149&gt;1),"⚠️ 최소수량 확인",IF(AND(AA149&gt;=설정!$B$8,Z149&gt;=설정!$B$9),"✅ 판매추천",IF(Z149&gt;0,"⚠️ 마진부족","❌ 제외"))))))</f>
        <v/>
      </c>
      <c r="AE149" s="15" t="n"/>
    </row>
    <row r="150">
      <c r="A150" s="14" t="n">
        <v>146</v>
      </c>
      <c r="B150" s="15" t="n"/>
      <c r="C150" s="15" t="n"/>
      <c r="D150" s="16" t="n"/>
      <c r="E150" s="17" t="n"/>
      <c r="F150" s="17" t="n"/>
      <c r="G150" s="18">
        <f>IF(E150="","",E150+F150)</f>
        <v/>
      </c>
      <c r="H150" s="17" t="n"/>
      <c r="I150" s="17" t="n"/>
      <c r="J150" s="18">
        <f>IF(H150="","",H150+I150)</f>
        <v/>
      </c>
      <c r="K150" s="17" t="n"/>
      <c r="L150" s="17" t="n"/>
      <c r="M150" s="18">
        <f>IF(K150="","",K150+L150)</f>
        <v/>
      </c>
      <c r="N150" s="16" t="n"/>
      <c r="O150" s="18">
        <f>IF(COUNT(G150,J150,M150)=0,"",MIN(G150,J150,M150))</f>
        <v/>
      </c>
      <c r="P150" s="14">
        <f>IF(O150="","",IF(O150=G150,"스페셜오퍼",IF(O150=J150,"도매매","도매꾹")))</f>
        <v/>
      </c>
      <c r="Q150" s="18">
        <f>IF(COUNT(G150,J150,M150)&lt;2,"",MAX(G150,J150,M150)-MIN(G150,J150,M150))</f>
        <v/>
      </c>
      <c r="R150" s="17" t="n"/>
      <c r="S150" s="17" t="n"/>
      <c r="T150" s="18">
        <f>IF(COUNT(R150,S150)=0,"",MIN(R150,S150))</f>
        <v/>
      </c>
      <c r="U150" s="19">
        <f>IF(OR(O150="",T150=""),"",O150/T150)</f>
        <v/>
      </c>
      <c r="V150" s="18">
        <f>IF(T150="","",ROUNDDOWN(T150*(1-설정!$B$3),-2))</f>
        <v/>
      </c>
      <c r="W150" s="17" t="n"/>
      <c r="X150" s="18">
        <f>IF(W150&lt;&gt;"",W150,V150)</f>
        <v/>
      </c>
      <c r="Y150" s="18">
        <f>IF(X150="","",X150*설정!$B$4)</f>
        <v/>
      </c>
      <c r="Z150" s="18">
        <f>IF(OR(X150="",O150=""),"",X150-Y150-O150-설정!$B$7)</f>
        <v/>
      </c>
      <c r="AA150" s="19">
        <f>IF(OR(Z150="",X150=0),"",Z150/X150)</f>
        <v/>
      </c>
      <c r="AB150" s="18">
        <f>IF(OR(T150="",O150=""),"",(T150+설정!$B$10)*(1-설정!$B$5)-O150)</f>
        <v/>
      </c>
      <c r="AC150" s="18">
        <f>IF(OR(T150="",O150=""),"",(T150+설정!$B$10)*(1-설정!$B$6)-O150)</f>
        <v/>
      </c>
      <c r="AD150" s="14">
        <f>IF(B150="","",IF(OR(O150="",T150=""),"가격 입력 필요",IF(Z150&lt;=0,"❌ 제외",IF(AND(P150="도매꾹",N150&gt;1),"⚠️ 최소수량 확인",IF(AND(AA150&gt;=설정!$B$8,Z150&gt;=설정!$B$9),"✅ 판매추천",IF(Z150&gt;0,"⚠️ 마진부족","❌ 제외"))))))</f>
        <v/>
      </c>
      <c r="AE150" s="15" t="n"/>
    </row>
    <row r="151">
      <c r="A151" s="14" t="n">
        <v>147</v>
      </c>
      <c r="B151" s="15" t="n"/>
      <c r="C151" s="15" t="n"/>
      <c r="D151" s="16" t="n"/>
      <c r="E151" s="17" t="n"/>
      <c r="F151" s="17" t="n"/>
      <c r="G151" s="18">
        <f>IF(E151="","",E151+F151)</f>
        <v/>
      </c>
      <c r="H151" s="17" t="n"/>
      <c r="I151" s="17" t="n"/>
      <c r="J151" s="18">
        <f>IF(H151="","",H151+I151)</f>
        <v/>
      </c>
      <c r="K151" s="17" t="n"/>
      <c r="L151" s="17" t="n"/>
      <c r="M151" s="18">
        <f>IF(K151="","",K151+L151)</f>
        <v/>
      </c>
      <c r="N151" s="16" t="n"/>
      <c r="O151" s="18">
        <f>IF(COUNT(G151,J151,M151)=0,"",MIN(G151,J151,M151))</f>
        <v/>
      </c>
      <c r="P151" s="14">
        <f>IF(O151="","",IF(O151=G151,"스페셜오퍼",IF(O151=J151,"도매매","도매꾹")))</f>
        <v/>
      </c>
      <c r="Q151" s="18">
        <f>IF(COUNT(G151,J151,M151)&lt;2,"",MAX(G151,J151,M151)-MIN(G151,J151,M151))</f>
        <v/>
      </c>
      <c r="R151" s="17" t="n"/>
      <c r="S151" s="17" t="n"/>
      <c r="T151" s="18">
        <f>IF(COUNT(R151,S151)=0,"",MIN(R151,S151))</f>
        <v/>
      </c>
      <c r="U151" s="19">
        <f>IF(OR(O151="",T151=""),"",O151/T151)</f>
        <v/>
      </c>
      <c r="V151" s="18">
        <f>IF(T151="","",ROUNDDOWN(T151*(1-설정!$B$3),-2))</f>
        <v/>
      </c>
      <c r="W151" s="17" t="n"/>
      <c r="X151" s="18">
        <f>IF(W151&lt;&gt;"",W151,V151)</f>
        <v/>
      </c>
      <c r="Y151" s="18">
        <f>IF(X151="","",X151*설정!$B$4)</f>
        <v/>
      </c>
      <c r="Z151" s="18">
        <f>IF(OR(X151="",O151=""),"",X151-Y151-O151-설정!$B$7)</f>
        <v/>
      </c>
      <c r="AA151" s="19">
        <f>IF(OR(Z151="",X151=0),"",Z151/X151)</f>
        <v/>
      </c>
      <c r="AB151" s="18">
        <f>IF(OR(T151="",O151=""),"",(T151+설정!$B$10)*(1-설정!$B$5)-O151)</f>
        <v/>
      </c>
      <c r="AC151" s="18">
        <f>IF(OR(T151="",O151=""),"",(T151+설정!$B$10)*(1-설정!$B$6)-O151)</f>
        <v/>
      </c>
      <c r="AD151" s="14">
        <f>IF(B151="","",IF(OR(O151="",T151=""),"가격 입력 필요",IF(Z151&lt;=0,"❌ 제외",IF(AND(P151="도매꾹",N151&gt;1),"⚠️ 최소수량 확인",IF(AND(AA151&gt;=설정!$B$8,Z151&gt;=설정!$B$9),"✅ 판매추천",IF(Z151&gt;0,"⚠️ 마진부족","❌ 제외"))))))</f>
        <v/>
      </c>
      <c r="AE151" s="15" t="n"/>
    </row>
    <row r="152">
      <c r="A152" s="14" t="n">
        <v>148</v>
      </c>
      <c r="B152" s="15" t="n"/>
      <c r="C152" s="15" t="n"/>
      <c r="D152" s="16" t="n"/>
      <c r="E152" s="17" t="n"/>
      <c r="F152" s="17" t="n"/>
      <c r="G152" s="18">
        <f>IF(E152="","",E152+F152)</f>
        <v/>
      </c>
      <c r="H152" s="17" t="n"/>
      <c r="I152" s="17" t="n"/>
      <c r="J152" s="18">
        <f>IF(H152="","",H152+I152)</f>
        <v/>
      </c>
      <c r="K152" s="17" t="n"/>
      <c r="L152" s="17" t="n"/>
      <c r="M152" s="18">
        <f>IF(K152="","",K152+L152)</f>
        <v/>
      </c>
      <c r="N152" s="16" t="n"/>
      <c r="O152" s="18">
        <f>IF(COUNT(G152,J152,M152)=0,"",MIN(G152,J152,M152))</f>
        <v/>
      </c>
      <c r="P152" s="14">
        <f>IF(O152="","",IF(O152=G152,"스페셜오퍼",IF(O152=J152,"도매매","도매꾹")))</f>
        <v/>
      </c>
      <c r="Q152" s="18">
        <f>IF(COUNT(G152,J152,M152)&lt;2,"",MAX(G152,J152,M152)-MIN(G152,J152,M152))</f>
        <v/>
      </c>
      <c r="R152" s="17" t="n"/>
      <c r="S152" s="17" t="n"/>
      <c r="T152" s="18">
        <f>IF(COUNT(R152,S152)=0,"",MIN(R152,S152))</f>
        <v/>
      </c>
      <c r="U152" s="19">
        <f>IF(OR(O152="",T152=""),"",O152/T152)</f>
        <v/>
      </c>
      <c r="V152" s="18">
        <f>IF(T152="","",ROUNDDOWN(T152*(1-설정!$B$3),-2))</f>
        <v/>
      </c>
      <c r="W152" s="17" t="n"/>
      <c r="X152" s="18">
        <f>IF(W152&lt;&gt;"",W152,V152)</f>
        <v/>
      </c>
      <c r="Y152" s="18">
        <f>IF(X152="","",X152*설정!$B$4)</f>
        <v/>
      </c>
      <c r="Z152" s="18">
        <f>IF(OR(X152="",O152=""),"",X152-Y152-O152-설정!$B$7)</f>
        <v/>
      </c>
      <c r="AA152" s="19">
        <f>IF(OR(Z152="",X152=0),"",Z152/X152)</f>
        <v/>
      </c>
      <c r="AB152" s="18">
        <f>IF(OR(T152="",O152=""),"",(T152+설정!$B$10)*(1-설정!$B$5)-O152)</f>
        <v/>
      </c>
      <c r="AC152" s="18">
        <f>IF(OR(T152="",O152=""),"",(T152+설정!$B$10)*(1-설정!$B$6)-O152)</f>
        <v/>
      </c>
      <c r="AD152" s="14">
        <f>IF(B152="","",IF(OR(O152="",T152=""),"가격 입력 필요",IF(Z152&lt;=0,"❌ 제외",IF(AND(P152="도매꾹",N152&gt;1),"⚠️ 최소수량 확인",IF(AND(AA152&gt;=설정!$B$8,Z152&gt;=설정!$B$9),"✅ 판매추천",IF(Z152&gt;0,"⚠️ 마진부족","❌ 제외"))))))</f>
        <v/>
      </c>
      <c r="AE152" s="15" t="n"/>
    </row>
    <row r="153">
      <c r="A153" s="14" t="n">
        <v>149</v>
      </c>
      <c r="B153" s="15" t="n"/>
      <c r="C153" s="15" t="n"/>
      <c r="D153" s="16" t="n"/>
      <c r="E153" s="17" t="n"/>
      <c r="F153" s="17" t="n"/>
      <c r="G153" s="18">
        <f>IF(E153="","",E153+F153)</f>
        <v/>
      </c>
      <c r="H153" s="17" t="n"/>
      <c r="I153" s="17" t="n"/>
      <c r="J153" s="18">
        <f>IF(H153="","",H153+I153)</f>
        <v/>
      </c>
      <c r="K153" s="17" t="n"/>
      <c r="L153" s="17" t="n"/>
      <c r="M153" s="18">
        <f>IF(K153="","",K153+L153)</f>
        <v/>
      </c>
      <c r="N153" s="16" t="n"/>
      <c r="O153" s="18">
        <f>IF(COUNT(G153,J153,M153)=0,"",MIN(G153,J153,M153))</f>
        <v/>
      </c>
      <c r="P153" s="14">
        <f>IF(O153="","",IF(O153=G153,"스페셜오퍼",IF(O153=J153,"도매매","도매꾹")))</f>
        <v/>
      </c>
      <c r="Q153" s="18">
        <f>IF(COUNT(G153,J153,M153)&lt;2,"",MAX(G153,J153,M153)-MIN(G153,J153,M153))</f>
        <v/>
      </c>
      <c r="R153" s="17" t="n"/>
      <c r="S153" s="17" t="n"/>
      <c r="T153" s="18">
        <f>IF(COUNT(R153,S153)=0,"",MIN(R153,S153))</f>
        <v/>
      </c>
      <c r="U153" s="19">
        <f>IF(OR(O153="",T153=""),"",O153/T153)</f>
        <v/>
      </c>
      <c r="V153" s="18">
        <f>IF(T153="","",ROUNDDOWN(T153*(1-설정!$B$3),-2))</f>
        <v/>
      </c>
      <c r="W153" s="17" t="n"/>
      <c r="X153" s="18">
        <f>IF(W153&lt;&gt;"",W153,V153)</f>
        <v/>
      </c>
      <c r="Y153" s="18">
        <f>IF(X153="","",X153*설정!$B$4)</f>
        <v/>
      </c>
      <c r="Z153" s="18">
        <f>IF(OR(X153="",O153=""),"",X153-Y153-O153-설정!$B$7)</f>
        <v/>
      </c>
      <c r="AA153" s="19">
        <f>IF(OR(Z153="",X153=0),"",Z153/X153)</f>
        <v/>
      </c>
      <c r="AB153" s="18">
        <f>IF(OR(T153="",O153=""),"",(T153+설정!$B$10)*(1-설정!$B$5)-O153)</f>
        <v/>
      </c>
      <c r="AC153" s="18">
        <f>IF(OR(T153="",O153=""),"",(T153+설정!$B$10)*(1-설정!$B$6)-O153)</f>
        <v/>
      </c>
      <c r="AD153" s="14">
        <f>IF(B153="","",IF(OR(O153="",T153=""),"가격 입력 필요",IF(Z153&lt;=0,"❌ 제외",IF(AND(P153="도매꾹",N153&gt;1),"⚠️ 최소수량 확인",IF(AND(AA153&gt;=설정!$B$8,Z153&gt;=설정!$B$9),"✅ 판매추천",IF(Z153&gt;0,"⚠️ 마진부족","❌ 제외"))))))</f>
        <v/>
      </c>
      <c r="AE153" s="15" t="n"/>
    </row>
    <row r="154">
      <c r="A154" s="14" t="n">
        <v>150</v>
      </c>
      <c r="B154" s="15" t="n"/>
      <c r="C154" s="15" t="n"/>
      <c r="D154" s="16" t="n"/>
      <c r="E154" s="17" t="n"/>
      <c r="F154" s="17" t="n"/>
      <c r="G154" s="18">
        <f>IF(E154="","",E154+F154)</f>
        <v/>
      </c>
      <c r="H154" s="17" t="n"/>
      <c r="I154" s="17" t="n"/>
      <c r="J154" s="18">
        <f>IF(H154="","",H154+I154)</f>
        <v/>
      </c>
      <c r="K154" s="17" t="n"/>
      <c r="L154" s="17" t="n"/>
      <c r="M154" s="18">
        <f>IF(K154="","",K154+L154)</f>
        <v/>
      </c>
      <c r="N154" s="16" t="n"/>
      <c r="O154" s="18">
        <f>IF(COUNT(G154,J154,M154)=0,"",MIN(G154,J154,M154))</f>
        <v/>
      </c>
      <c r="P154" s="14">
        <f>IF(O154="","",IF(O154=G154,"스페셜오퍼",IF(O154=J154,"도매매","도매꾹")))</f>
        <v/>
      </c>
      <c r="Q154" s="18">
        <f>IF(COUNT(G154,J154,M154)&lt;2,"",MAX(G154,J154,M154)-MIN(G154,J154,M154))</f>
        <v/>
      </c>
      <c r="R154" s="17" t="n"/>
      <c r="S154" s="17" t="n"/>
      <c r="T154" s="18">
        <f>IF(COUNT(R154,S154)=0,"",MIN(R154,S154))</f>
        <v/>
      </c>
      <c r="U154" s="19">
        <f>IF(OR(O154="",T154=""),"",O154/T154)</f>
        <v/>
      </c>
      <c r="V154" s="18">
        <f>IF(T154="","",ROUNDDOWN(T154*(1-설정!$B$3),-2))</f>
        <v/>
      </c>
      <c r="W154" s="17" t="n"/>
      <c r="X154" s="18">
        <f>IF(W154&lt;&gt;"",W154,V154)</f>
        <v/>
      </c>
      <c r="Y154" s="18">
        <f>IF(X154="","",X154*설정!$B$4)</f>
        <v/>
      </c>
      <c r="Z154" s="18">
        <f>IF(OR(X154="",O154=""),"",X154-Y154-O154-설정!$B$7)</f>
        <v/>
      </c>
      <c r="AA154" s="19">
        <f>IF(OR(Z154="",X154=0),"",Z154/X154)</f>
        <v/>
      </c>
      <c r="AB154" s="18">
        <f>IF(OR(T154="",O154=""),"",(T154+설정!$B$10)*(1-설정!$B$5)-O154)</f>
        <v/>
      </c>
      <c r="AC154" s="18">
        <f>IF(OR(T154="",O154=""),"",(T154+설정!$B$10)*(1-설정!$B$6)-O154)</f>
        <v/>
      </c>
      <c r="AD154" s="14">
        <f>IF(B154="","",IF(OR(O154="",T154=""),"가격 입력 필요",IF(Z154&lt;=0,"❌ 제외",IF(AND(P154="도매꾹",N154&gt;1),"⚠️ 최소수량 확인",IF(AND(AA154&gt;=설정!$B$8,Z154&gt;=설정!$B$9),"✅ 판매추천",IF(Z154&gt;0,"⚠️ 마진부족","❌ 제외"))))))</f>
        <v/>
      </c>
      <c r="AE154" s="15" t="n"/>
    </row>
    <row r="155">
      <c r="A155" s="14" t="n">
        <v>151</v>
      </c>
      <c r="B155" s="15" t="n"/>
      <c r="C155" s="15" t="n"/>
      <c r="D155" s="16" t="n"/>
      <c r="E155" s="17" t="n"/>
      <c r="F155" s="17" t="n"/>
      <c r="G155" s="18">
        <f>IF(E155="","",E155+F155)</f>
        <v/>
      </c>
      <c r="H155" s="17" t="n"/>
      <c r="I155" s="17" t="n"/>
      <c r="J155" s="18">
        <f>IF(H155="","",H155+I155)</f>
        <v/>
      </c>
      <c r="K155" s="17" t="n"/>
      <c r="L155" s="17" t="n"/>
      <c r="M155" s="18">
        <f>IF(K155="","",K155+L155)</f>
        <v/>
      </c>
      <c r="N155" s="16" t="n"/>
      <c r="O155" s="18">
        <f>IF(COUNT(G155,J155,M155)=0,"",MIN(G155,J155,M155))</f>
        <v/>
      </c>
      <c r="P155" s="14">
        <f>IF(O155="","",IF(O155=G155,"스페셜오퍼",IF(O155=J155,"도매매","도매꾹")))</f>
        <v/>
      </c>
      <c r="Q155" s="18">
        <f>IF(COUNT(G155,J155,M155)&lt;2,"",MAX(G155,J155,M155)-MIN(G155,J155,M155))</f>
        <v/>
      </c>
      <c r="R155" s="17" t="n"/>
      <c r="S155" s="17" t="n"/>
      <c r="T155" s="18">
        <f>IF(COUNT(R155,S155)=0,"",MIN(R155,S155))</f>
        <v/>
      </c>
      <c r="U155" s="19">
        <f>IF(OR(O155="",T155=""),"",O155/T155)</f>
        <v/>
      </c>
      <c r="V155" s="18">
        <f>IF(T155="","",ROUNDDOWN(T155*(1-설정!$B$3),-2))</f>
        <v/>
      </c>
      <c r="W155" s="17" t="n"/>
      <c r="X155" s="18">
        <f>IF(W155&lt;&gt;"",W155,V155)</f>
        <v/>
      </c>
      <c r="Y155" s="18">
        <f>IF(X155="","",X155*설정!$B$4)</f>
        <v/>
      </c>
      <c r="Z155" s="18">
        <f>IF(OR(X155="",O155=""),"",X155-Y155-O155-설정!$B$7)</f>
        <v/>
      </c>
      <c r="AA155" s="19">
        <f>IF(OR(Z155="",X155=0),"",Z155/X155)</f>
        <v/>
      </c>
      <c r="AB155" s="18">
        <f>IF(OR(T155="",O155=""),"",(T155+설정!$B$10)*(1-설정!$B$5)-O155)</f>
        <v/>
      </c>
      <c r="AC155" s="18">
        <f>IF(OR(T155="",O155=""),"",(T155+설정!$B$10)*(1-설정!$B$6)-O155)</f>
        <v/>
      </c>
      <c r="AD155" s="14">
        <f>IF(B155="","",IF(OR(O155="",T155=""),"가격 입력 필요",IF(Z155&lt;=0,"❌ 제외",IF(AND(P155="도매꾹",N155&gt;1),"⚠️ 최소수량 확인",IF(AND(AA155&gt;=설정!$B$8,Z155&gt;=설정!$B$9),"✅ 판매추천",IF(Z155&gt;0,"⚠️ 마진부족","❌ 제외"))))))</f>
        <v/>
      </c>
      <c r="AE155" s="15" t="n"/>
    </row>
    <row r="156">
      <c r="A156" s="14" t="n">
        <v>152</v>
      </c>
      <c r="B156" s="15" t="n"/>
      <c r="C156" s="15" t="n"/>
      <c r="D156" s="16" t="n"/>
      <c r="E156" s="17" t="n"/>
      <c r="F156" s="17" t="n"/>
      <c r="G156" s="18">
        <f>IF(E156="","",E156+F156)</f>
        <v/>
      </c>
      <c r="H156" s="17" t="n"/>
      <c r="I156" s="17" t="n"/>
      <c r="J156" s="18">
        <f>IF(H156="","",H156+I156)</f>
        <v/>
      </c>
      <c r="K156" s="17" t="n"/>
      <c r="L156" s="17" t="n"/>
      <c r="M156" s="18">
        <f>IF(K156="","",K156+L156)</f>
        <v/>
      </c>
      <c r="N156" s="16" t="n"/>
      <c r="O156" s="18">
        <f>IF(COUNT(G156,J156,M156)=0,"",MIN(G156,J156,M156))</f>
        <v/>
      </c>
      <c r="P156" s="14">
        <f>IF(O156="","",IF(O156=G156,"스페셜오퍼",IF(O156=J156,"도매매","도매꾹")))</f>
        <v/>
      </c>
      <c r="Q156" s="18">
        <f>IF(COUNT(G156,J156,M156)&lt;2,"",MAX(G156,J156,M156)-MIN(G156,J156,M156))</f>
        <v/>
      </c>
      <c r="R156" s="17" t="n"/>
      <c r="S156" s="17" t="n"/>
      <c r="T156" s="18">
        <f>IF(COUNT(R156,S156)=0,"",MIN(R156,S156))</f>
        <v/>
      </c>
      <c r="U156" s="19">
        <f>IF(OR(O156="",T156=""),"",O156/T156)</f>
        <v/>
      </c>
      <c r="V156" s="18">
        <f>IF(T156="","",ROUNDDOWN(T156*(1-설정!$B$3),-2))</f>
        <v/>
      </c>
      <c r="W156" s="17" t="n"/>
      <c r="X156" s="18">
        <f>IF(W156&lt;&gt;"",W156,V156)</f>
        <v/>
      </c>
      <c r="Y156" s="18">
        <f>IF(X156="","",X156*설정!$B$4)</f>
        <v/>
      </c>
      <c r="Z156" s="18">
        <f>IF(OR(X156="",O156=""),"",X156-Y156-O156-설정!$B$7)</f>
        <v/>
      </c>
      <c r="AA156" s="19">
        <f>IF(OR(Z156="",X156=0),"",Z156/X156)</f>
        <v/>
      </c>
      <c r="AB156" s="18">
        <f>IF(OR(T156="",O156=""),"",(T156+설정!$B$10)*(1-설정!$B$5)-O156)</f>
        <v/>
      </c>
      <c r="AC156" s="18">
        <f>IF(OR(T156="",O156=""),"",(T156+설정!$B$10)*(1-설정!$B$6)-O156)</f>
        <v/>
      </c>
      <c r="AD156" s="14">
        <f>IF(B156="","",IF(OR(O156="",T156=""),"가격 입력 필요",IF(Z156&lt;=0,"❌ 제외",IF(AND(P156="도매꾹",N156&gt;1),"⚠️ 최소수량 확인",IF(AND(AA156&gt;=설정!$B$8,Z156&gt;=설정!$B$9),"✅ 판매추천",IF(Z156&gt;0,"⚠️ 마진부족","❌ 제외"))))))</f>
        <v/>
      </c>
      <c r="AE156" s="15" t="n"/>
    </row>
    <row r="157">
      <c r="A157" s="14" t="n">
        <v>153</v>
      </c>
      <c r="B157" s="15" t="n"/>
      <c r="C157" s="15" t="n"/>
      <c r="D157" s="16" t="n"/>
      <c r="E157" s="17" t="n"/>
      <c r="F157" s="17" t="n"/>
      <c r="G157" s="18">
        <f>IF(E157="","",E157+F157)</f>
        <v/>
      </c>
      <c r="H157" s="17" t="n"/>
      <c r="I157" s="17" t="n"/>
      <c r="J157" s="18">
        <f>IF(H157="","",H157+I157)</f>
        <v/>
      </c>
      <c r="K157" s="17" t="n"/>
      <c r="L157" s="17" t="n"/>
      <c r="M157" s="18">
        <f>IF(K157="","",K157+L157)</f>
        <v/>
      </c>
      <c r="N157" s="16" t="n"/>
      <c r="O157" s="18">
        <f>IF(COUNT(G157,J157,M157)=0,"",MIN(G157,J157,M157))</f>
        <v/>
      </c>
      <c r="P157" s="14">
        <f>IF(O157="","",IF(O157=G157,"스페셜오퍼",IF(O157=J157,"도매매","도매꾹")))</f>
        <v/>
      </c>
      <c r="Q157" s="18">
        <f>IF(COUNT(G157,J157,M157)&lt;2,"",MAX(G157,J157,M157)-MIN(G157,J157,M157))</f>
        <v/>
      </c>
      <c r="R157" s="17" t="n"/>
      <c r="S157" s="17" t="n"/>
      <c r="T157" s="18">
        <f>IF(COUNT(R157,S157)=0,"",MIN(R157,S157))</f>
        <v/>
      </c>
      <c r="U157" s="19">
        <f>IF(OR(O157="",T157=""),"",O157/T157)</f>
        <v/>
      </c>
      <c r="V157" s="18">
        <f>IF(T157="","",ROUNDDOWN(T157*(1-설정!$B$3),-2))</f>
        <v/>
      </c>
      <c r="W157" s="17" t="n"/>
      <c r="X157" s="18">
        <f>IF(W157&lt;&gt;"",W157,V157)</f>
        <v/>
      </c>
      <c r="Y157" s="18">
        <f>IF(X157="","",X157*설정!$B$4)</f>
        <v/>
      </c>
      <c r="Z157" s="18">
        <f>IF(OR(X157="",O157=""),"",X157-Y157-O157-설정!$B$7)</f>
        <v/>
      </c>
      <c r="AA157" s="19">
        <f>IF(OR(Z157="",X157=0),"",Z157/X157)</f>
        <v/>
      </c>
      <c r="AB157" s="18">
        <f>IF(OR(T157="",O157=""),"",(T157+설정!$B$10)*(1-설정!$B$5)-O157)</f>
        <v/>
      </c>
      <c r="AC157" s="18">
        <f>IF(OR(T157="",O157=""),"",(T157+설정!$B$10)*(1-설정!$B$6)-O157)</f>
        <v/>
      </c>
      <c r="AD157" s="14">
        <f>IF(B157="","",IF(OR(O157="",T157=""),"가격 입력 필요",IF(Z157&lt;=0,"❌ 제외",IF(AND(P157="도매꾹",N157&gt;1),"⚠️ 최소수량 확인",IF(AND(AA157&gt;=설정!$B$8,Z157&gt;=설정!$B$9),"✅ 판매추천",IF(Z157&gt;0,"⚠️ 마진부족","❌ 제외"))))))</f>
        <v/>
      </c>
      <c r="AE157" s="15" t="n"/>
    </row>
    <row r="158">
      <c r="A158" s="14" t="n">
        <v>154</v>
      </c>
      <c r="B158" s="15" t="n"/>
      <c r="C158" s="15" t="n"/>
      <c r="D158" s="16" t="n"/>
      <c r="E158" s="17" t="n"/>
      <c r="F158" s="17" t="n"/>
      <c r="G158" s="18">
        <f>IF(E158="","",E158+F158)</f>
        <v/>
      </c>
      <c r="H158" s="17" t="n"/>
      <c r="I158" s="17" t="n"/>
      <c r="J158" s="18">
        <f>IF(H158="","",H158+I158)</f>
        <v/>
      </c>
      <c r="K158" s="17" t="n"/>
      <c r="L158" s="17" t="n"/>
      <c r="M158" s="18">
        <f>IF(K158="","",K158+L158)</f>
        <v/>
      </c>
      <c r="N158" s="16" t="n"/>
      <c r="O158" s="18">
        <f>IF(COUNT(G158,J158,M158)=0,"",MIN(G158,J158,M158))</f>
        <v/>
      </c>
      <c r="P158" s="14">
        <f>IF(O158="","",IF(O158=G158,"스페셜오퍼",IF(O158=J158,"도매매","도매꾹")))</f>
        <v/>
      </c>
      <c r="Q158" s="18">
        <f>IF(COUNT(G158,J158,M158)&lt;2,"",MAX(G158,J158,M158)-MIN(G158,J158,M158))</f>
        <v/>
      </c>
      <c r="R158" s="17" t="n"/>
      <c r="S158" s="17" t="n"/>
      <c r="T158" s="18">
        <f>IF(COUNT(R158,S158)=0,"",MIN(R158,S158))</f>
        <v/>
      </c>
      <c r="U158" s="19">
        <f>IF(OR(O158="",T158=""),"",O158/T158)</f>
        <v/>
      </c>
      <c r="V158" s="18">
        <f>IF(T158="","",ROUNDDOWN(T158*(1-설정!$B$3),-2))</f>
        <v/>
      </c>
      <c r="W158" s="17" t="n"/>
      <c r="X158" s="18">
        <f>IF(W158&lt;&gt;"",W158,V158)</f>
        <v/>
      </c>
      <c r="Y158" s="18">
        <f>IF(X158="","",X158*설정!$B$4)</f>
        <v/>
      </c>
      <c r="Z158" s="18">
        <f>IF(OR(X158="",O158=""),"",X158-Y158-O158-설정!$B$7)</f>
        <v/>
      </c>
      <c r="AA158" s="19">
        <f>IF(OR(Z158="",X158=0),"",Z158/X158)</f>
        <v/>
      </c>
      <c r="AB158" s="18">
        <f>IF(OR(T158="",O158=""),"",(T158+설정!$B$10)*(1-설정!$B$5)-O158)</f>
        <v/>
      </c>
      <c r="AC158" s="18">
        <f>IF(OR(T158="",O158=""),"",(T158+설정!$B$10)*(1-설정!$B$6)-O158)</f>
        <v/>
      </c>
      <c r="AD158" s="14">
        <f>IF(B158="","",IF(OR(O158="",T158=""),"가격 입력 필요",IF(Z158&lt;=0,"❌ 제외",IF(AND(P158="도매꾹",N158&gt;1),"⚠️ 최소수량 확인",IF(AND(AA158&gt;=설정!$B$8,Z158&gt;=설정!$B$9),"✅ 판매추천",IF(Z158&gt;0,"⚠️ 마진부족","❌ 제외"))))))</f>
        <v/>
      </c>
      <c r="AE158" s="15" t="n"/>
    </row>
    <row r="159">
      <c r="A159" s="14" t="n">
        <v>155</v>
      </c>
      <c r="B159" s="15" t="n"/>
      <c r="C159" s="15" t="n"/>
      <c r="D159" s="16" t="n"/>
      <c r="E159" s="17" t="n"/>
      <c r="F159" s="17" t="n"/>
      <c r="G159" s="18">
        <f>IF(E159="","",E159+F159)</f>
        <v/>
      </c>
      <c r="H159" s="17" t="n"/>
      <c r="I159" s="17" t="n"/>
      <c r="J159" s="18">
        <f>IF(H159="","",H159+I159)</f>
        <v/>
      </c>
      <c r="K159" s="17" t="n"/>
      <c r="L159" s="17" t="n"/>
      <c r="M159" s="18">
        <f>IF(K159="","",K159+L159)</f>
        <v/>
      </c>
      <c r="N159" s="16" t="n"/>
      <c r="O159" s="18">
        <f>IF(COUNT(G159,J159,M159)=0,"",MIN(G159,J159,M159))</f>
        <v/>
      </c>
      <c r="P159" s="14">
        <f>IF(O159="","",IF(O159=G159,"스페셜오퍼",IF(O159=J159,"도매매","도매꾹")))</f>
        <v/>
      </c>
      <c r="Q159" s="18">
        <f>IF(COUNT(G159,J159,M159)&lt;2,"",MAX(G159,J159,M159)-MIN(G159,J159,M159))</f>
        <v/>
      </c>
      <c r="R159" s="17" t="n"/>
      <c r="S159" s="17" t="n"/>
      <c r="T159" s="18">
        <f>IF(COUNT(R159,S159)=0,"",MIN(R159,S159))</f>
        <v/>
      </c>
      <c r="U159" s="19">
        <f>IF(OR(O159="",T159=""),"",O159/T159)</f>
        <v/>
      </c>
      <c r="V159" s="18">
        <f>IF(T159="","",ROUNDDOWN(T159*(1-설정!$B$3),-2))</f>
        <v/>
      </c>
      <c r="W159" s="17" t="n"/>
      <c r="X159" s="18">
        <f>IF(W159&lt;&gt;"",W159,V159)</f>
        <v/>
      </c>
      <c r="Y159" s="18">
        <f>IF(X159="","",X159*설정!$B$4)</f>
        <v/>
      </c>
      <c r="Z159" s="18">
        <f>IF(OR(X159="",O159=""),"",X159-Y159-O159-설정!$B$7)</f>
        <v/>
      </c>
      <c r="AA159" s="19">
        <f>IF(OR(Z159="",X159=0),"",Z159/X159)</f>
        <v/>
      </c>
      <c r="AB159" s="18">
        <f>IF(OR(T159="",O159=""),"",(T159+설정!$B$10)*(1-설정!$B$5)-O159)</f>
        <v/>
      </c>
      <c r="AC159" s="18">
        <f>IF(OR(T159="",O159=""),"",(T159+설정!$B$10)*(1-설정!$B$6)-O159)</f>
        <v/>
      </c>
      <c r="AD159" s="14">
        <f>IF(B159="","",IF(OR(O159="",T159=""),"가격 입력 필요",IF(Z159&lt;=0,"❌ 제외",IF(AND(P159="도매꾹",N159&gt;1),"⚠️ 최소수량 확인",IF(AND(AA159&gt;=설정!$B$8,Z159&gt;=설정!$B$9),"✅ 판매추천",IF(Z159&gt;0,"⚠️ 마진부족","❌ 제외"))))))</f>
        <v/>
      </c>
      <c r="AE159" s="15" t="n"/>
    </row>
    <row r="160">
      <c r="A160" s="14" t="n">
        <v>156</v>
      </c>
      <c r="B160" s="15" t="n"/>
      <c r="C160" s="15" t="n"/>
      <c r="D160" s="16" t="n"/>
      <c r="E160" s="17" t="n"/>
      <c r="F160" s="17" t="n"/>
      <c r="G160" s="18">
        <f>IF(E160="","",E160+F160)</f>
        <v/>
      </c>
      <c r="H160" s="17" t="n"/>
      <c r="I160" s="17" t="n"/>
      <c r="J160" s="18">
        <f>IF(H160="","",H160+I160)</f>
        <v/>
      </c>
      <c r="K160" s="17" t="n"/>
      <c r="L160" s="17" t="n"/>
      <c r="M160" s="18">
        <f>IF(K160="","",K160+L160)</f>
        <v/>
      </c>
      <c r="N160" s="16" t="n"/>
      <c r="O160" s="18">
        <f>IF(COUNT(G160,J160,M160)=0,"",MIN(G160,J160,M160))</f>
        <v/>
      </c>
      <c r="P160" s="14">
        <f>IF(O160="","",IF(O160=G160,"스페셜오퍼",IF(O160=J160,"도매매","도매꾹")))</f>
        <v/>
      </c>
      <c r="Q160" s="18">
        <f>IF(COUNT(G160,J160,M160)&lt;2,"",MAX(G160,J160,M160)-MIN(G160,J160,M160))</f>
        <v/>
      </c>
      <c r="R160" s="17" t="n"/>
      <c r="S160" s="17" t="n"/>
      <c r="T160" s="18">
        <f>IF(COUNT(R160,S160)=0,"",MIN(R160,S160))</f>
        <v/>
      </c>
      <c r="U160" s="19">
        <f>IF(OR(O160="",T160=""),"",O160/T160)</f>
        <v/>
      </c>
      <c r="V160" s="18">
        <f>IF(T160="","",ROUNDDOWN(T160*(1-설정!$B$3),-2))</f>
        <v/>
      </c>
      <c r="W160" s="17" t="n"/>
      <c r="X160" s="18">
        <f>IF(W160&lt;&gt;"",W160,V160)</f>
        <v/>
      </c>
      <c r="Y160" s="18">
        <f>IF(X160="","",X160*설정!$B$4)</f>
        <v/>
      </c>
      <c r="Z160" s="18">
        <f>IF(OR(X160="",O160=""),"",X160-Y160-O160-설정!$B$7)</f>
        <v/>
      </c>
      <c r="AA160" s="19">
        <f>IF(OR(Z160="",X160=0),"",Z160/X160)</f>
        <v/>
      </c>
      <c r="AB160" s="18">
        <f>IF(OR(T160="",O160=""),"",(T160+설정!$B$10)*(1-설정!$B$5)-O160)</f>
        <v/>
      </c>
      <c r="AC160" s="18">
        <f>IF(OR(T160="",O160=""),"",(T160+설정!$B$10)*(1-설정!$B$6)-O160)</f>
        <v/>
      </c>
      <c r="AD160" s="14">
        <f>IF(B160="","",IF(OR(O160="",T160=""),"가격 입력 필요",IF(Z160&lt;=0,"❌ 제외",IF(AND(P160="도매꾹",N160&gt;1),"⚠️ 최소수량 확인",IF(AND(AA160&gt;=설정!$B$8,Z160&gt;=설정!$B$9),"✅ 판매추천",IF(Z160&gt;0,"⚠️ 마진부족","❌ 제외"))))))</f>
        <v/>
      </c>
      <c r="AE160" s="15" t="n"/>
    </row>
    <row r="161">
      <c r="A161" s="14" t="n">
        <v>157</v>
      </c>
      <c r="B161" s="15" t="n"/>
      <c r="C161" s="15" t="n"/>
      <c r="D161" s="16" t="n"/>
      <c r="E161" s="17" t="n"/>
      <c r="F161" s="17" t="n"/>
      <c r="G161" s="18">
        <f>IF(E161="","",E161+F161)</f>
        <v/>
      </c>
      <c r="H161" s="17" t="n"/>
      <c r="I161" s="17" t="n"/>
      <c r="J161" s="18">
        <f>IF(H161="","",H161+I161)</f>
        <v/>
      </c>
      <c r="K161" s="17" t="n"/>
      <c r="L161" s="17" t="n"/>
      <c r="M161" s="18">
        <f>IF(K161="","",K161+L161)</f>
        <v/>
      </c>
      <c r="N161" s="16" t="n"/>
      <c r="O161" s="18">
        <f>IF(COUNT(G161,J161,M161)=0,"",MIN(G161,J161,M161))</f>
        <v/>
      </c>
      <c r="P161" s="14">
        <f>IF(O161="","",IF(O161=G161,"스페셜오퍼",IF(O161=J161,"도매매","도매꾹")))</f>
        <v/>
      </c>
      <c r="Q161" s="18">
        <f>IF(COUNT(G161,J161,M161)&lt;2,"",MAX(G161,J161,M161)-MIN(G161,J161,M161))</f>
        <v/>
      </c>
      <c r="R161" s="17" t="n"/>
      <c r="S161" s="17" t="n"/>
      <c r="T161" s="18">
        <f>IF(COUNT(R161,S161)=0,"",MIN(R161,S161))</f>
        <v/>
      </c>
      <c r="U161" s="19">
        <f>IF(OR(O161="",T161=""),"",O161/T161)</f>
        <v/>
      </c>
      <c r="V161" s="18">
        <f>IF(T161="","",ROUNDDOWN(T161*(1-설정!$B$3),-2))</f>
        <v/>
      </c>
      <c r="W161" s="17" t="n"/>
      <c r="X161" s="18">
        <f>IF(W161&lt;&gt;"",W161,V161)</f>
        <v/>
      </c>
      <c r="Y161" s="18">
        <f>IF(X161="","",X161*설정!$B$4)</f>
        <v/>
      </c>
      <c r="Z161" s="18">
        <f>IF(OR(X161="",O161=""),"",X161-Y161-O161-설정!$B$7)</f>
        <v/>
      </c>
      <c r="AA161" s="19">
        <f>IF(OR(Z161="",X161=0),"",Z161/X161)</f>
        <v/>
      </c>
      <c r="AB161" s="18">
        <f>IF(OR(T161="",O161=""),"",(T161+설정!$B$10)*(1-설정!$B$5)-O161)</f>
        <v/>
      </c>
      <c r="AC161" s="18">
        <f>IF(OR(T161="",O161=""),"",(T161+설정!$B$10)*(1-설정!$B$6)-O161)</f>
        <v/>
      </c>
      <c r="AD161" s="14">
        <f>IF(B161="","",IF(OR(O161="",T161=""),"가격 입력 필요",IF(Z161&lt;=0,"❌ 제외",IF(AND(P161="도매꾹",N161&gt;1),"⚠️ 최소수량 확인",IF(AND(AA161&gt;=설정!$B$8,Z161&gt;=설정!$B$9),"✅ 판매추천",IF(Z161&gt;0,"⚠️ 마진부족","❌ 제외"))))))</f>
        <v/>
      </c>
      <c r="AE161" s="15" t="n"/>
    </row>
    <row r="162">
      <c r="A162" s="14" t="n">
        <v>158</v>
      </c>
      <c r="B162" s="15" t="n"/>
      <c r="C162" s="15" t="n"/>
      <c r="D162" s="16" t="n"/>
      <c r="E162" s="17" t="n"/>
      <c r="F162" s="17" t="n"/>
      <c r="G162" s="18">
        <f>IF(E162="","",E162+F162)</f>
        <v/>
      </c>
      <c r="H162" s="17" t="n"/>
      <c r="I162" s="17" t="n"/>
      <c r="J162" s="18">
        <f>IF(H162="","",H162+I162)</f>
        <v/>
      </c>
      <c r="K162" s="17" t="n"/>
      <c r="L162" s="17" t="n"/>
      <c r="M162" s="18">
        <f>IF(K162="","",K162+L162)</f>
        <v/>
      </c>
      <c r="N162" s="16" t="n"/>
      <c r="O162" s="18">
        <f>IF(COUNT(G162,J162,M162)=0,"",MIN(G162,J162,M162))</f>
        <v/>
      </c>
      <c r="P162" s="14">
        <f>IF(O162="","",IF(O162=G162,"스페셜오퍼",IF(O162=J162,"도매매","도매꾹")))</f>
        <v/>
      </c>
      <c r="Q162" s="18">
        <f>IF(COUNT(G162,J162,M162)&lt;2,"",MAX(G162,J162,M162)-MIN(G162,J162,M162))</f>
        <v/>
      </c>
      <c r="R162" s="17" t="n"/>
      <c r="S162" s="17" t="n"/>
      <c r="T162" s="18">
        <f>IF(COUNT(R162,S162)=0,"",MIN(R162,S162))</f>
        <v/>
      </c>
      <c r="U162" s="19">
        <f>IF(OR(O162="",T162=""),"",O162/T162)</f>
        <v/>
      </c>
      <c r="V162" s="18">
        <f>IF(T162="","",ROUNDDOWN(T162*(1-설정!$B$3),-2))</f>
        <v/>
      </c>
      <c r="W162" s="17" t="n"/>
      <c r="X162" s="18">
        <f>IF(W162&lt;&gt;"",W162,V162)</f>
        <v/>
      </c>
      <c r="Y162" s="18">
        <f>IF(X162="","",X162*설정!$B$4)</f>
        <v/>
      </c>
      <c r="Z162" s="18">
        <f>IF(OR(X162="",O162=""),"",X162-Y162-O162-설정!$B$7)</f>
        <v/>
      </c>
      <c r="AA162" s="19">
        <f>IF(OR(Z162="",X162=0),"",Z162/X162)</f>
        <v/>
      </c>
      <c r="AB162" s="18">
        <f>IF(OR(T162="",O162=""),"",(T162+설정!$B$10)*(1-설정!$B$5)-O162)</f>
        <v/>
      </c>
      <c r="AC162" s="18">
        <f>IF(OR(T162="",O162=""),"",(T162+설정!$B$10)*(1-설정!$B$6)-O162)</f>
        <v/>
      </c>
      <c r="AD162" s="14">
        <f>IF(B162="","",IF(OR(O162="",T162=""),"가격 입력 필요",IF(Z162&lt;=0,"❌ 제외",IF(AND(P162="도매꾹",N162&gt;1),"⚠️ 최소수량 확인",IF(AND(AA162&gt;=설정!$B$8,Z162&gt;=설정!$B$9),"✅ 판매추천",IF(Z162&gt;0,"⚠️ 마진부족","❌ 제외"))))))</f>
        <v/>
      </c>
      <c r="AE162" s="15" t="n"/>
    </row>
    <row r="163">
      <c r="A163" s="14" t="n">
        <v>159</v>
      </c>
      <c r="B163" s="15" t="n"/>
      <c r="C163" s="15" t="n"/>
      <c r="D163" s="16" t="n"/>
      <c r="E163" s="17" t="n"/>
      <c r="F163" s="17" t="n"/>
      <c r="G163" s="18">
        <f>IF(E163="","",E163+F163)</f>
        <v/>
      </c>
      <c r="H163" s="17" t="n"/>
      <c r="I163" s="17" t="n"/>
      <c r="J163" s="18">
        <f>IF(H163="","",H163+I163)</f>
        <v/>
      </c>
      <c r="K163" s="17" t="n"/>
      <c r="L163" s="17" t="n"/>
      <c r="M163" s="18">
        <f>IF(K163="","",K163+L163)</f>
        <v/>
      </c>
      <c r="N163" s="16" t="n"/>
      <c r="O163" s="18">
        <f>IF(COUNT(G163,J163,M163)=0,"",MIN(G163,J163,M163))</f>
        <v/>
      </c>
      <c r="P163" s="14">
        <f>IF(O163="","",IF(O163=G163,"스페셜오퍼",IF(O163=J163,"도매매","도매꾹")))</f>
        <v/>
      </c>
      <c r="Q163" s="18">
        <f>IF(COUNT(G163,J163,M163)&lt;2,"",MAX(G163,J163,M163)-MIN(G163,J163,M163))</f>
        <v/>
      </c>
      <c r="R163" s="17" t="n"/>
      <c r="S163" s="17" t="n"/>
      <c r="T163" s="18">
        <f>IF(COUNT(R163,S163)=0,"",MIN(R163,S163))</f>
        <v/>
      </c>
      <c r="U163" s="19">
        <f>IF(OR(O163="",T163=""),"",O163/T163)</f>
        <v/>
      </c>
      <c r="V163" s="18">
        <f>IF(T163="","",ROUNDDOWN(T163*(1-설정!$B$3),-2))</f>
        <v/>
      </c>
      <c r="W163" s="17" t="n"/>
      <c r="X163" s="18">
        <f>IF(W163&lt;&gt;"",W163,V163)</f>
        <v/>
      </c>
      <c r="Y163" s="18">
        <f>IF(X163="","",X163*설정!$B$4)</f>
        <v/>
      </c>
      <c r="Z163" s="18">
        <f>IF(OR(X163="",O163=""),"",X163-Y163-O163-설정!$B$7)</f>
        <v/>
      </c>
      <c r="AA163" s="19">
        <f>IF(OR(Z163="",X163=0),"",Z163/X163)</f>
        <v/>
      </c>
      <c r="AB163" s="18">
        <f>IF(OR(T163="",O163=""),"",(T163+설정!$B$10)*(1-설정!$B$5)-O163)</f>
        <v/>
      </c>
      <c r="AC163" s="18">
        <f>IF(OR(T163="",O163=""),"",(T163+설정!$B$10)*(1-설정!$B$6)-O163)</f>
        <v/>
      </c>
      <c r="AD163" s="14">
        <f>IF(B163="","",IF(OR(O163="",T163=""),"가격 입력 필요",IF(Z163&lt;=0,"❌ 제외",IF(AND(P163="도매꾹",N163&gt;1),"⚠️ 최소수량 확인",IF(AND(AA163&gt;=설정!$B$8,Z163&gt;=설정!$B$9),"✅ 판매추천",IF(Z163&gt;0,"⚠️ 마진부족","❌ 제외"))))))</f>
        <v/>
      </c>
      <c r="AE163" s="15" t="n"/>
    </row>
    <row r="164">
      <c r="A164" s="14" t="n">
        <v>160</v>
      </c>
      <c r="B164" s="15" t="n"/>
      <c r="C164" s="15" t="n"/>
      <c r="D164" s="16" t="n"/>
      <c r="E164" s="17" t="n"/>
      <c r="F164" s="17" t="n"/>
      <c r="G164" s="18">
        <f>IF(E164="","",E164+F164)</f>
        <v/>
      </c>
      <c r="H164" s="17" t="n"/>
      <c r="I164" s="17" t="n"/>
      <c r="J164" s="18">
        <f>IF(H164="","",H164+I164)</f>
        <v/>
      </c>
      <c r="K164" s="17" t="n"/>
      <c r="L164" s="17" t="n"/>
      <c r="M164" s="18">
        <f>IF(K164="","",K164+L164)</f>
        <v/>
      </c>
      <c r="N164" s="16" t="n"/>
      <c r="O164" s="18">
        <f>IF(COUNT(G164,J164,M164)=0,"",MIN(G164,J164,M164))</f>
        <v/>
      </c>
      <c r="P164" s="14">
        <f>IF(O164="","",IF(O164=G164,"스페셜오퍼",IF(O164=J164,"도매매","도매꾹")))</f>
        <v/>
      </c>
      <c r="Q164" s="18">
        <f>IF(COUNT(G164,J164,M164)&lt;2,"",MAX(G164,J164,M164)-MIN(G164,J164,M164))</f>
        <v/>
      </c>
      <c r="R164" s="17" t="n"/>
      <c r="S164" s="17" t="n"/>
      <c r="T164" s="18">
        <f>IF(COUNT(R164,S164)=0,"",MIN(R164,S164))</f>
        <v/>
      </c>
      <c r="U164" s="19">
        <f>IF(OR(O164="",T164=""),"",O164/T164)</f>
        <v/>
      </c>
      <c r="V164" s="18">
        <f>IF(T164="","",ROUNDDOWN(T164*(1-설정!$B$3),-2))</f>
        <v/>
      </c>
      <c r="W164" s="17" t="n"/>
      <c r="X164" s="18">
        <f>IF(W164&lt;&gt;"",W164,V164)</f>
        <v/>
      </c>
      <c r="Y164" s="18">
        <f>IF(X164="","",X164*설정!$B$4)</f>
        <v/>
      </c>
      <c r="Z164" s="18">
        <f>IF(OR(X164="",O164=""),"",X164-Y164-O164-설정!$B$7)</f>
        <v/>
      </c>
      <c r="AA164" s="19">
        <f>IF(OR(Z164="",X164=0),"",Z164/X164)</f>
        <v/>
      </c>
      <c r="AB164" s="18">
        <f>IF(OR(T164="",O164=""),"",(T164+설정!$B$10)*(1-설정!$B$5)-O164)</f>
        <v/>
      </c>
      <c r="AC164" s="18">
        <f>IF(OR(T164="",O164=""),"",(T164+설정!$B$10)*(1-설정!$B$6)-O164)</f>
        <v/>
      </c>
      <c r="AD164" s="14">
        <f>IF(B164="","",IF(OR(O164="",T164=""),"가격 입력 필요",IF(Z164&lt;=0,"❌ 제외",IF(AND(P164="도매꾹",N164&gt;1),"⚠️ 최소수량 확인",IF(AND(AA164&gt;=설정!$B$8,Z164&gt;=설정!$B$9),"✅ 판매추천",IF(Z164&gt;0,"⚠️ 마진부족","❌ 제외"))))))</f>
        <v/>
      </c>
      <c r="AE164" s="15" t="n"/>
    </row>
    <row r="165">
      <c r="A165" s="14" t="n">
        <v>161</v>
      </c>
      <c r="B165" s="15" t="n"/>
      <c r="C165" s="15" t="n"/>
      <c r="D165" s="16" t="n"/>
      <c r="E165" s="17" t="n"/>
      <c r="F165" s="17" t="n"/>
      <c r="G165" s="18">
        <f>IF(E165="","",E165+F165)</f>
        <v/>
      </c>
      <c r="H165" s="17" t="n"/>
      <c r="I165" s="17" t="n"/>
      <c r="J165" s="18">
        <f>IF(H165="","",H165+I165)</f>
        <v/>
      </c>
      <c r="K165" s="17" t="n"/>
      <c r="L165" s="17" t="n"/>
      <c r="M165" s="18">
        <f>IF(K165="","",K165+L165)</f>
        <v/>
      </c>
      <c r="N165" s="16" t="n"/>
      <c r="O165" s="18">
        <f>IF(COUNT(G165,J165,M165)=0,"",MIN(G165,J165,M165))</f>
        <v/>
      </c>
      <c r="P165" s="14">
        <f>IF(O165="","",IF(O165=G165,"스페셜오퍼",IF(O165=J165,"도매매","도매꾹")))</f>
        <v/>
      </c>
      <c r="Q165" s="18">
        <f>IF(COUNT(G165,J165,M165)&lt;2,"",MAX(G165,J165,M165)-MIN(G165,J165,M165))</f>
        <v/>
      </c>
      <c r="R165" s="17" t="n"/>
      <c r="S165" s="17" t="n"/>
      <c r="T165" s="18">
        <f>IF(COUNT(R165,S165)=0,"",MIN(R165,S165))</f>
        <v/>
      </c>
      <c r="U165" s="19">
        <f>IF(OR(O165="",T165=""),"",O165/T165)</f>
        <v/>
      </c>
      <c r="V165" s="18">
        <f>IF(T165="","",ROUNDDOWN(T165*(1-설정!$B$3),-2))</f>
        <v/>
      </c>
      <c r="W165" s="17" t="n"/>
      <c r="X165" s="18">
        <f>IF(W165&lt;&gt;"",W165,V165)</f>
        <v/>
      </c>
      <c r="Y165" s="18">
        <f>IF(X165="","",X165*설정!$B$4)</f>
        <v/>
      </c>
      <c r="Z165" s="18">
        <f>IF(OR(X165="",O165=""),"",X165-Y165-O165-설정!$B$7)</f>
        <v/>
      </c>
      <c r="AA165" s="19">
        <f>IF(OR(Z165="",X165=0),"",Z165/X165)</f>
        <v/>
      </c>
      <c r="AB165" s="18">
        <f>IF(OR(T165="",O165=""),"",(T165+설정!$B$10)*(1-설정!$B$5)-O165)</f>
        <v/>
      </c>
      <c r="AC165" s="18">
        <f>IF(OR(T165="",O165=""),"",(T165+설정!$B$10)*(1-설정!$B$6)-O165)</f>
        <v/>
      </c>
      <c r="AD165" s="14">
        <f>IF(B165="","",IF(OR(O165="",T165=""),"가격 입력 필요",IF(Z165&lt;=0,"❌ 제외",IF(AND(P165="도매꾹",N165&gt;1),"⚠️ 최소수량 확인",IF(AND(AA165&gt;=설정!$B$8,Z165&gt;=설정!$B$9),"✅ 판매추천",IF(Z165&gt;0,"⚠️ 마진부족","❌ 제외"))))))</f>
        <v/>
      </c>
      <c r="AE165" s="15" t="n"/>
    </row>
    <row r="166">
      <c r="A166" s="14" t="n">
        <v>162</v>
      </c>
      <c r="B166" s="15" t="n"/>
      <c r="C166" s="15" t="n"/>
      <c r="D166" s="16" t="n"/>
      <c r="E166" s="17" t="n"/>
      <c r="F166" s="17" t="n"/>
      <c r="G166" s="18">
        <f>IF(E166="","",E166+F166)</f>
        <v/>
      </c>
      <c r="H166" s="17" t="n"/>
      <c r="I166" s="17" t="n"/>
      <c r="J166" s="18">
        <f>IF(H166="","",H166+I166)</f>
        <v/>
      </c>
      <c r="K166" s="17" t="n"/>
      <c r="L166" s="17" t="n"/>
      <c r="M166" s="18">
        <f>IF(K166="","",K166+L166)</f>
        <v/>
      </c>
      <c r="N166" s="16" t="n"/>
      <c r="O166" s="18">
        <f>IF(COUNT(G166,J166,M166)=0,"",MIN(G166,J166,M166))</f>
        <v/>
      </c>
      <c r="P166" s="14">
        <f>IF(O166="","",IF(O166=G166,"스페셜오퍼",IF(O166=J166,"도매매","도매꾹")))</f>
        <v/>
      </c>
      <c r="Q166" s="18">
        <f>IF(COUNT(G166,J166,M166)&lt;2,"",MAX(G166,J166,M166)-MIN(G166,J166,M166))</f>
        <v/>
      </c>
      <c r="R166" s="17" t="n"/>
      <c r="S166" s="17" t="n"/>
      <c r="T166" s="18">
        <f>IF(COUNT(R166,S166)=0,"",MIN(R166,S166))</f>
        <v/>
      </c>
      <c r="U166" s="19">
        <f>IF(OR(O166="",T166=""),"",O166/T166)</f>
        <v/>
      </c>
      <c r="V166" s="18">
        <f>IF(T166="","",ROUNDDOWN(T166*(1-설정!$B$3),-2))</f>
        <v/>
      </c>
      <c r="W166" s="17" t="n"/>
      <c r="X166" s="18">
        <f>IF(W166&lt;&gt;"",W166,V166)</f>
        <v/>
      </c>
      <c r="Y166" s="18">
        <f>IF(X166="","",X166*설정!$B$4)</f>
        <v/>
      </c>
      <c r="Z166" s="18">
        <f>IF(OR(X166="",O166=""),"",X166-Y166-O166-설정!$B$7)</f>
        <v/>
      </c>
      <c r="AA166" s="19">
        <f>IF(OR(Z166="",X166=0),"",Z166/X166)</f>
        <v/>
      </c>
      <c r="AB166" s="18">
        <f>IF(OR(T166="",O166=""),"",(T166+설정!$B$10)*(1-설정!$B$5)-O166)</f>
        <v/>
      </c>
      <c r="AC166" s="18">
        <f>IF(OR(T166="",O166=""),"",(T166+설정!$B$10)*(1-설정!$B$6)-O166)</f>
        <v/>
      </c>
      <c r="AD166" s="14">
        <f>IF(B166="","",IF(OR(O166="",T166=""),"가격 입력 필요",IF(Z166&lt;=0,"❌ 제외",IF(AND(P166="도매꾹",N166&gt;1),"⚠️ 최소수량 확인",IF(AND(AA166&gt;=설정!$B$8,Z166&gt;=설정!$B$9),"✅ 판매추천",IF(Z166&gt;0,"⚠️ 마진부족","❌ 제외"))))))</f>
        <v/>
      </c>
      <c r="AE166" s="15" t="n"/>
    </row>
    <row r="167">
      <c r="A167" s="14" t="n">
        <v>163</v>
      </c>
      <c r="B167" s="15" t="n"/>
      <c r="C167" s="15" t="n"/>
      <c r="D167" s="16" t="n"/>
      <c r="E167" s="17" t="n"/>
      <c r="F167" s="17" t="n"/>
      <c r="G167" s="18">
        <f>IF(E167="","",E167+F167)</f>
        <v/>
      </c>
      <c r="H167" s="17" t="n"/>
      <c r="I167" s="17" t="n"/>
      <c r="J167" s="18">
        <f>IF(H167="","",H167+I167)</f>
        <v/>
      </c>
      <c r="K167" s="17" t="n"/>
      <c r="L167" s="17" t="n"/>
      <c r="M167" s="18">
        <f>IF(K167="","",K167+L167)</f>
        <v/>
      </c>
      <c r="N167" s="16" t="n"/>
      <c r="O167" s="18">
        <f>IF(COUNT(G167,J167,M167)=0,"",MIN(G167,J167,M167))</f>
        <v/>
      </c>
      <c r="P167" s="14">
        <f>IF(O167="","",IF(O167=G167,"스페셜오퍼",IF(O167=J167,"도매매","도매꾹")))</f>
        <v/>
      </c>
      <c r="Q167" s="18">
        <f>IF(COUNT(G167,J167,M167)&lt;2,"",MAX(G167,J167,M167)-MIN(G167,J167,M167))</f>
        <v/>
      </c>
      <c r="R167" s="17" t="n"/>
      <c r="S167" s="17" t="n"/>
      <c r="T167" s="18">
        <f>IF(COUNT(R167,S167)=0,"",MIN(R167,S167))</f>
        <v/>
      </c>
      <c r="U167" s="19">
        <f>IF(OR(O167="",T167=""),"",O167/T167)</f>
        <v/>
      </c>
      <c r="V167" s="18">
        <f>IF(T167="","",ROUNDDOWN(T167*(1-설정!$B$3),-2))</f>
        <v/>
      </c>
      <c r="W167" s="17" t="n"/>
      <c r="X167" s="18">
        <f>IF(W167&lt;&gt;"",W167,V167)</f>
        <v/>
      </c>
      <c r="Y167" s="18">
        <f>IF(X167="","",X167*설정!$B$4)</f>
        <v/>
      </c>
      <c r="Z167" s="18">
        <f>IF(OR(X167="",O167=""),"",X167-Y167-O167-설정!$B$7)</f>
        <v/>
      </c>
      <c r="AA167" s="19">
        <f>IF(OR(Z167="",X167=0),"",Z167/X167)</f>
        <v/>
      </c>
      <c r="AB167" s="18">
        <f>IF(OR(T167="",O167=""),"",(T167+설정!$B$10)*(1-설정!$B$5)-O167)</f>
        <v/>
      </c>
      <c r="AC167" s="18">
        <f>IF(OR(T167="",O167=""),"",(T167+설정!$B$10)*(1-설정!$B$6)-O167)</f>
        <v/>
      </c>
      <c r="AD167" s="14">
        <f>IF(B167="","",IF(OR(O167="",T167=""),"가격 입력 필요",IF(Z167&lt;=0,"❌ 제외",IF(AND(P167="도매꾹",N167&gt;1),"⚠️ 최소수량 확인",IF(AND(AA167&gt;=설정!$B$8,Z167&gt;=설정!$B$9),"✅ 판매추천",IF(Z167&gt;0,"⚠️ 마진부족","❌ 제외"))))))</f>
        <v/>
      </c>
      <c r="AE167" s="15" t="n"/>
    </row>
    <row r="168">
      <c r="A168" s="14" t="n">
        <v>164</v>
      </c>
      <c r="B168" s="15" t="n"/>
      <c r="C168" s="15" t="n"/>
      <c r="D168" s="16" t="n"/>
      <c r="E168" s="17" t="n"/>
      <c r="F168" s="17" t="n"/>
      <c r="G168" s="18">
        <f>IF(E168="","",E168+F168)</f>
        <v/>
      </c>
      <c r="H168" s="17" t="n"/>
      <c r="I168" s="17" t="n"/>
      <c r="J168" s="18">
        <f>IF(H168="","",H168+I168)</f>
        <v/>
      </c>
      <c r="K168" s="17" t="n"/>
      <c r="L168" s="17" t="n"/>
      <c r="M168" s="18">
        <f>IF(K168="","",K168+L168)</f>
        <v/>
      </c>
      <c r="N168" s="16" t="n"/>
      <c r="O168" s="18">
        <f>IF(COUNT(G168,J168,M168)=0,"",MIN(G168,J168,M168))</f>
        <v/>
      </c>
      <c r="P168" s="14">
        <f>IF(O168="","",IF(O168=G168,"스페셜오퍼",IF(O168=J168,"도매매","도매꾹")))</f>
        <v/>
      </c>
      <c r="Q168" s="18">
        <f>IF(COUNT(G168,J168,M168)&lt;2,"",MAX(G168,J168,M168)-MIN(G168,J168,M168))</f>
        <v/>
      </c>
      <c r="R168" s="17" t="n"/>
      <c r="S168" s="17" t="n"/>
      <c r="T168" s="18">
        <f>IF(COUNT(R168,S168)=0,"",MIN(R168,S168))</f>
        <v/>
      </c>
      <c r="U168" s="19">
        <f>IF(OR(O168="",T168=""),"",O168/T168)</f>
        <v/>
      </c>
      <c r="V168" s="18">
        <f>IF(T168="","",ROUNDDOWN(T168*(1-설정!$B$3),-2))</f>
        <v/>
      </c>
      <c r="W168" s="17" t="n"/>
      <c r="X168" s="18">
        <f>IF(W168&lt;&gt;"",W168,V168)</f>
        <v/>
      </c>
      <c r="Y168" s="18">
        <f>IF(X168="","",X168*설정!$B$4)</f>
        <v/>
      </c>
      <c r="Z168" s="18">
        <f>IF(OR(X168="",O168=""),"",X168-Y168-O168-설정!$B$7)</f>
        <v/>
      </c>
      <c r="AA168" s="19">
        <f>IF(OR(Z168="",X168=0),"",Z168/X168)</f>
        <v/>
      </c>
      <c r="AB168" s="18">
        <f>IF(OR(T168="",O168=""),"",(T168+설정!$B$10)*(1-설정!$B$5)-O168)</f>
        <v/>
      </c>
      <c r="AC168" s="18">
        <f>IF(OR(T168="",O168=""),"",(T168+설정!$B$10)*(1-설정!$B$6)-O168)</f>
        <v/>
      </c>
      <c r="AD168" s="14">
        <f>IF(B168="","",IF(OR(O168="",T168=""),"가격 입력 필요",IF(Z168&lt;=0,"❌ 제외",IF(AND(P168="도매꾹",N168&gt;1),"⚠️ 최소수량 확인",IF(AND(AA168&gt;=설정!$B$8,Z168&gt;=설정!$B$9),"✅ 판매추천",IF(Z168&gt;0,"⚠️ 마진부족","❌ 제외"))))))</f>
        <v/>
      </c>
      <c r="AE168" s="15" t="n"/>
    </row>
    <row r="169">
      <c r="A169" s="14" t="n">
        <v>165</v>
      </c>
      <c r="B169" s="15" t="n"/>
      <c r="C169" s="15" t="n"/>
      <c r="D169" s="16" t="n"/>
      <c r="E169" s="17" t="n"/>
      <c r="F169" s="17" t="n"/>
      <c r="G169" s="18">
        <f>IF(E169="","",E169+F169)</f>
        <v/>
      </c>
      <c r="H169" s="17" t="n"/>
      <c r="I169" s="17" t="n"/>
      <c r="J169" s="18">
        <f>IF(H169="","",H169+I169)</f>
        <v/>
      </c>
      <c r="K169" s="17" t="n"/>
      <c r="L169" s="17" t="n"/>
      <c r="M169" s="18">
        <f>IF(K169="","",K169+L169)</f>
        <v/>
      </c>
      <c r="N169" s="16" t="n"/>
      <c r="O169" s="18">
        <f>IF(COUNT(G169,J169,M169)=0,"",MIN(G169,J169,M169))</f>
        <v/>
      </c>
      <c r="P169" s="14">
        <f>IF(O169="","",IF(O169=G169,"스페셜오퍼",IF(O169=J169,"도매매","도매꾹")))</f>
        <v/>
      </c>
      <c r="Q169" s="18">
        <f>IF(COUNT(G169,J169,M169)&lt;2,"",MAX(G169,J169,M169)-MIN(G169,J169,M169))</f>
        <v/>
      </c>
      <c r="R169" s="17" t="n"/>
      <c r="S169" s="17" t="n"/>
      <c r="T169" s="18">
        <f>IF(COUNT(R169,S169)=0,"",MIN(R169,S169))</f>
        <v/>
      </c>
      <c r="U169" s="19">
        <f>IF(OR(O169="",T169=""),"",O169/T169)</f>
        <v/>
      </c>
      <c r="V169" s="18">
        <f>IF(T169="","",ROUNDDOWN(T169*(1-설정!$B$3),-2))</f>
        <v/>
      </c>
      <c r="W169" s="17" t="n"/>
      <c r="X169" s="18">
        <f>IF(W169&lt;&gt;"",W169,V169)</f>
        <v/>
      </c>
      <c r="Y169" s="18">
        <f>IF(X169="","",X169*설정!$B$4)</f>
        <v/>
      </c>
      <c r="Z169" s="18">
        <f>IF(OR(X169="",O169=""),"",X169-Y169-O169-설정!$B$7)</f>
        <v/>
      </c>
      <c r="AA169" s="19">
        <f>IF(OR(Z169="",X169=0),"",Z169/X169)</f>
        <v/>
      </c>
      <c r="AB169" s="18">
        <f>IF(OR(T169="",O169=""),"",(T169+설정!$B$10)*(1-설정!$B$5)-O169)</f>
        <v/>
      </c>
      <c r="AC169" s="18">
        <f>IF(OR(T169="",O169=""),"",(T169+설정!$B$10)*(1-설정!$B$6)-O169)</f>
        <v/>
      </c>
      <c r="AD169" s="14">
        <f>IF(B169="","",IF(OR(O169="",T169=""),"가격 입력 필요",IF(Z169&lt;=0,"❌ 제외",IF(AND(P169="도매꾹",N169&gt;1),"⚠️ 최소수량 확인",IF(AND(AA169&gt;=설정!$B$8,Z169&gt;=설정!$B$9),"✅ 판매추천",IF(Z169&gt;0,"⚠️ 마진부족","❌ 제외"))))))</f>
        <v/>
      </c>
      <c r="AE169" s="15" t="n"/>
    </row>
    <row r="170">
      <c r="A170" s="14" t="n">
        <v>166</v>
      </c>
      <c r="B170" s="15" t="n"/>
      <c r="C170" s="15" t="n"/>
      <c r="D170" s="16" t="n"/>
      <c r="E170" s="17" t="n"/>
      <c r="F170" s="17" t="n"/>
      <c r="G170" s="18">
        <f>IF(E170="","",E170+F170)</f>
        <v/>
      </c>
      <c r="H170" s="17" t="n"/>
      <c r="I170" s="17" t="n"/>
      <c r="J170" s="18">
        <f>IF(H170="","",H170+I170)</f>
        <v/>
      </c>
      <c r="K170" s="17" t="n"/>
      <c r="L170" s="17" t="n"/>
      <c r="M170" s="18">
        <f>IF(K170="","",K170+L170)</f>
        <v/>
      </c>
      <c r="N170" s="16" t="n"/>
      <c r="O170" s="18">
        <f>IF(COUNT(G170,J170,M170)=0,"",MIN(G170,J170,M170))</f>
        <v/>
      </c>
      <c r="P170" s="14">
        <f>IF(O170="","",IF(O170=G170,"스페셜오퍼",IF(O170=J170,"도매매","도매꾹")))</f>
        <v/>
      </c>
      <c r="Q170" s="18">
        <f>IF(COUNT(G170,J170,M170)&lt;2,"",MAX(G170,J170,M170)-MIN(G170,J170,M170))</f>
        <v/>
      </c>
      <c r="R170" s="17" t="n"/>
      <c r="S170" s="17" t="n"/>
      <c r="T170" s="18">
        <f>IF(COUNT(R170,S170)=0,"",MIN(R170,S170))</f>
        <v/>
      </c>
      <c r="U170" s="19">
        <f>IF(OR(O170="",T170=""),"",O170/T170)</f>
        <v/>
      </c>
      <c r="V170" s="18">
        <f>IF(T170="","",ROUNDDOWN(T170*(1-설정!$B$3),-2))</f>
        <v/>
      </c>
      <c r="W170" s="17" t="n"/>
      <c r="X170" s="18">
        <f>IF(W170&lt;&gt;"",W170,V170)</f>
        <v/>
      </c>
      <c r="Y170" s="18">
        <f>IF(X170="","",X170*설정!$B$4)</f>
        <v/>
      </c>
      <c r="Z170" s="18">
        <f>IF(OR(X170="",O170=""),"",X170-Y170-O170-설정!$B$7)</f>
        <v/>
      </c>
      <c r="AA170" s="19">
        <f>IF(OR(Z170="",X170=0),"",Z170/X170)</f>
        <v/>
      </c>
      <c r="AB170" s="18">
        <f>IF(OR(T170="",O170=""),"",(T170+설정!$B$10)*(1-설정!$B$5)-O170)</f>
        <v/>
      </c>
      <c r="AC170" s="18">
        <f>IF(OR(T170="",O170=""),"",(T170+설정!$B$10)*(1-설정!$B$6)-O170)</f>
        <v/>
      </c>
      <c r="AD170" s="14">
        <f>IF(B170="","",IF(OR(O170="",T170=""),"가격 입력 필요",IF(Z170&lt;=0,"❌ 제외",IF(AND(P170="도매꾹",N170&gt;1),"⚠️ 최소수량 확인",IF(AND(AA170&gt;=설정!$B$8,Z170&gt;=설정!$B$9),"✅ 판매추천",IF(Z170&gt;0,"⚠️ 마진부족","❌ 제외"))))))</f>
        <v/>
      </c>
      <c r="AE170" s="15" t="n"/>
    </row>
    <row r="171">
      <c r="A171" s="14" t="n">
        <v>167</v>
      </c>
      <c r="B171" s="15" t="n"/>
      <c r="C171" s="15" t="n"/>
      <c r="D171" s="16" t="n"/>
      <c r="E171" s="17" t="n"/>
      <c r="F171" s="17" t="n"/>
      <c r="G171" s="18">
        <f>IF(E171="","",E171+F171)</f>
        <v/>
      </c>
      <c r="H171" s="17" t="n"/>
      <c r="I171" s="17" t="n"/>
      <c r="J171" s="18">
        <f>IF(H171="","",H171+I171)</f>
        <v/>
      </c>
      <c r="K171" s="17" t="n"/>
      <c r="L171" s="17" t="n"/>
      <c r="M171" s="18">
        <f>IF(K171="","",K171+L171)</f>
        <v/>
      </c>
      <c r="N171" s="16" t="n"/>
      <c r="O171" s="18">
        <f>IF(COUNT(G171,J171,M171)=0,"",MIN(G171,J171,M171))</f>
        <v/>
      </c>
      <c r="P171" s="14">
        <f>IF(O171="","",IF(O171=G171,"스페셜오퍼",IF(O171=J171,"도매매","도매꾹")))</f>
        <v/>
      </c>
      <c r="Q171" s="18">
        <f>IF(COUNT(G171,J171,M171)&lt;2,"",MAX(G171,J171,M171)-MIN(G171,J171,M171))</f>
        <v/>
      </c>
      <c r="R171" s="17" t="n"/>
      <c r="S171" s="17" t="n"/>
      <c r="T171" s="18">
        <f>IF(COUNT(R171,S171)=0,"",MIN(R171,S171))</f>
        <v/>
      </c>
      <c r="U171" s="19">
        <f>IF(OR(O171="",T171=""),"",O171/T171)</f>
        <v/>
      </c>
      <c r="V171" s="18">
        <f>IF(T171="","",ROUNDDOWN(T171*(1-설정!$B$3),-2))</f>
        <v/>
      </c>
      <c r="W171" s="17" t="n"/>
      <c r="X171" s="18">
        <f>IF(W171&lt;&gt;"",W171,V171)</f>
        <v/>
      </c>
      <c r="Y171" s="18">
        <f>IF(X171="","",X171*설정!$B$4)</f>
        <v/>
      </c>
      <c r="Z171" s="18">
        <f>IF(OR(X171="",O171=""),"",X171-Y171-O171-설정!$B$7)</f>
        <v/>
      </c>
      <c r="AA171" s="19">
        <f>IF(OR(Z171="",X171=0),"",Z171/X171)</f>
        <v/>
      </c>
      <c r="AB171" s="18">
        <f>IF(OR(T171="",O171=""),"",(T171+설정!$B$10)*(1-설정!$B$5)-O171)</f>
        <v/>
      </c>
      <c r="AC171" s="18">
        <f>IF(OR(T171="",O171=""),"",(T171+설정!$B$10)*(1-설정!$B$6)-O171)</f>
        <v/>
      </c>
      <c r="AD171" s="14">
        <f>IF(B171="","",IF(OR(O171="",T171=""),"가격 입력 필요",IF(Z171&lt;=0,"❌ 제외",IF(AND(P171="도매꾹",N171&gt;1),"⚠️ 최소수량 확인",IF(AND(AA171&gt;=설정!$B$8,Z171&gt;=설정!$B$9),"✅ 판매추천",IF(Z171&gt;0,"⚠️ 마진부족","❌ 제외"))))))</f>
        <v/>
      </c>
      <c r="AE171" s="15" t="n"/>
    </row>
    <row r="172">
      <c r="A172" s="14" t="n">
        <v>168</v>
      </c>
      <c r="B172" s="15" t="n"/>
      <c r="C172" s="15" t="n"/>
      <c r="D172" s="16" t="n"/>
      <c r="E172" s="17" t="n"/>
      <c r="F172" s="17" t="n"/>
      <c r="G172" s="18">
        <f>IF(E172="","",E172+F172)</f>
        <v/>
      </c>
      <c r="H172" s="17" t="n"/>
      <c r="I172" s="17" t="n"/>
      <c r="J172" s="18">
        <f>IF(H172="","",H172+I172)</f>
        <v/>
      </c>
      <c r="K172" s="17" t="n"/>
      <c r="L172" s="17" t="n"/>
      <c r="M172" s="18">
        <f>IF(K172="","",K172+L172)</f>
        <v/>
      </c>
      <c r="N172" s="16" t="n"/>
      <c r="O172" s="18">
        <f>IF(COUNT(G172,J172,M172)=0,"",MIN(G172,J172,M172))</f>
        <v/>
      </c>
      <c r="P172" s="14">
        <f>IF(O172="","",IF(O172=G172,"스페셜오퍼",IF(O172=J172,"도매매","도매꾹")))</f>
        <v/>
      </c>
      <c r="Q172" s="18">
        <f>IF(COUNT(G172,J172,M172)&lt;2,"",MAX(G172,J172,M172)-MIN(G172,J172,M172))</f>
        <v/>
      </c>
      <c r="R172" s="17" t="n"/>
      <c r="S172" s="17" t="n"/>
      <c r="T172" s="18">
        <f>IF(COUNT(R172,S172)=0,"",MIN(R172,S172))</f>
        <v/>
      </c>
      <c r="U172" s="19">
        <f>IF(OR(O172="",T172=""),"",O172/T172)</f>
        <v/>
      </c>
      <c r="V172" s="18">
        <f>IF(T172="","",ROUNDDOWN(T172*(1-설정!$B$3),-2))</f>
        <v/>
      </c>
      <c r="W172" s="17" t="n"/>
      <c r="X172" s="18">
        <f>IF(W172&lt;&gt;"",W172,V172)</f>
        <v/>
      </c>
      <c r="Y172" s="18">
        <f>IF(X172="","",X172*설정!$B$4)</f>
        <v/>
      </c>
      <c r="Z172" s="18">
        <f>IF(OR(X172="",O172=""),"",X172-Y172-O172-설정!$B$7)</f>
        <v/>
      </c>
      <c r="AA172" s="19">
        <f>IF(OR(Z172="",X172=0),"",Z172/X172)</f>
        <v/>
      </c>
      <c r="AB172" s="18">
        <f>IF(OR(T172="",O172=""),"",(T172+설정!$B$10)*(1-설정!$B$5)-O172)</f>
        <v/>
      </c>
      <c r="AC172" s="18">
        <f>IF(OR(T172="",O172=""),"",(T172+설정!$B$10)*(1-설정!$B$6)-O172)</f>
        <v/>
      </c>
      <c r="AD172" s="14">
        <f>IF(B172="","",IF(OR(O172="",T172=""),"가격 입력 필요",IF(Z172&lt;=0,"❌ 제외",IF(AND(P172="도매꾹",N172&gt;1),"⚠️ 최소수량 확인",IF(AND(AA172&gt;=설정!$B$8,Z172&gt;=설정!$B$9),"✅ 판매추천",IF(Z172&gt;0,"⚠️ 마진부족","❌ 제외"))))))</f>
        <v/>
      </c>
      <c r="AE172" s="15" t="n"/>
    </row>
    <row r="173">
      <c r="A173" s="14" t="n">
        <v>169</v>
      </c>
      <c r="B173" s="15" t="n"/>
      <c r="C173" s="15" t="n"/>
      <c r="D173" s="16" t="n"/>
      <c r="E173" s="17" t="n"/>
      <c r="F173" s="17" t="n"/>
      <c r="G173" s="18">
        <f>IF(E173="","",E173+F173)</f>
        <v/>
      </c>
      <c r="H173" s="17" t="n"/>
      <c r="I173" s="17" t="n"/>
      <c r="J173" s="18">
        <f>IF(H173="","",H173+I173)</f>
        <v/>
      </c>
      <c r="K173" s="17" t="n"/>
      <c r="L173" s="17" t="n"/>
      <c r="M173" s="18">
        <f>IF(K173="","",K173+L173)</f>
        <v/>
      </c>
      <c r="N173" s="16" t="n"/>
      <c r="O173" s="18">
        <f>IF(COUNT(G173,J173,M173)=0,"",MIN(G173,J173,M173))</f>
        <v/>
      </c>
      <c r="P173" s="14">
        <f>IF(O173="","",IF(O173=G173,"스페셜오퍼",IF(O173=J173,"도매매","도매꾹")))</f>
        <v/>
      </c>
      <c r="Q173" s="18">
        <f>IF(COUNT(G173,J173,M173)&lt;2,"",MAX(G173,J173,M173)-MIN(G173,J173,M173))</f>
        <v/>
      </c>
      <c r="R173" s="17" t="n"/>
      <c r="S173" s="17" t="n"/>
      <c r="T173" s="18">
        <f>IF(COUNT(R173,S173)=0,"",MIN(R173,S173))</f>
        <v/>
      </c>
      <c r="U173" s="19">
        <f>IF(OR(O173="",T173=""),"",O173/T173)</f>
        <v/>
      </c>
      <c r="V173" s="18">
        <f>IF(T173="","",ROUNDDOWN(T173*(1-설정!$B$3),-2))</f>
        <v/>
      </c>
      <c r="W173" s="17" t="n"/>
      <c r="X173" s="18">
        <f>IF(W173&lt;&gt;"",W173,V173)</f>
        <v/>
      </c>
      <c r="Y173" s="18">
        <f>IF(X173="","",X173*설정!$B$4)</f>
        <v/>
      </c>
      <c r="Z173" s="18">
        <f>IF(OR(X173="",O173=""),"",X173-Y173-O173-설정!$B$7)</f>
        <v/>
      </c>
      <c r="AA173" s="19">
        <f>IF(OR(Z173="",X173=0),"",Z173/X173)</f>
        <v/>
      </c>
      <c r="AB173" s="18">
        <f>IF(OR(T173="",O173=""),"",(T173+설정!$B$10)*(1-설정!$B$5)-O173)</f>
        <v/>
      </c>
      <c r="AC173" s="18">
        <f>IF(OR(T173="",O173=""),"",(T173+설정!$B$10)*(1-설정!$B$6)-O173)</f>
        <v/>
      </c>
      <c r="AD173" s="14">
        <f>IF(B173="","",IF(OR(O173="",T173=""),"가격 입력 필요",IF(Z173&lt;=0,"❌ 제외",IF(AND(P173="도매꾹",N173&gt;1),"⚠️ 최소수량 확인",IF(AND(AA173&gt;=설정!$B$8,Z173&gt;=설정!$B$9),"✅ 판매추천",IF(Z173&gt;0,"⚠️ 마진부족","❌ 제외"))))))</f>
        <v/>
      </c>
      <c r="AE173" s="15" t="n"/>
    </row>
    <row r="174">
      <c r="A174" s="14" t="n">
        <v>170</v>
      </c>
      <c r="B174" s="15" t="n"/>
      <c r="C174" s="15" t="n"/>
      <c r="D174" s="16" t="n"/>
      <c r="E174" s="17" t="n"/>
      <c r="F174" s="17" t="n"/>
      <c r="G174" s="18">
        <f>IF(E174="","",E174+F174)</f>
        <v/>
      </c>
      <c r="H174" s="17" t="n"/>
      <c r="I174" s="17" t="n"/>
      <c r="J174" s="18">
        <f>IF(H174="","",H174+I174)</f>
        <v/>
      </c>
      <c r="K174" s="17" t="n"/>
      <c r="L174" s="17" t="n"/>
      <c r="M174" s="18">
        <f>IF(K174="","",K174+L174)</f>
        <v/>
      </c>
      <c r="N174" s="16" t="n"/>
      <c r="O174" s="18">
        <f>IF(COUNT(G174,J174,M174)=0,"",MIN(G174,J174,M174))</f>
        <v/>
      </c>
      <c r="P174" s="14">
        <f>IF(O174="","",IF(O174=G174,"스페셜오퍼",IF(O174=J174,"도매매","도매꾹")))</f>
        <v/>
      </c>
      <c r="Q174" s="18">
        <f>IF(COUNT(G174,J174,M174)&lt;2,"",MAX(G174,J174,M174)-MIN(G174,J174,M174))</f>
        <v/>
      </c>
      <c r="R174" s="17" t="n"/>
      <c r="S174" s="17" t="n"/>
      <c r="T174" s="18">
        <f>IF(COUNT(R174,S174)=0,"",MIN(R174,S174))</f>
        <v/>
      </c>
      <c r="U174" s="19">
        <f>IF(OR(O174="",T174=""),"",O174/T174)</f>
        <v/>
      </c>
      <c r="V174" s="18">
        <f>IF(T174="","",ROUNDDOWN(T174*(1-설정!$B$3),-2))</f>
        <v/>
      </c>
      <c r="W174" s="17" t="n"/>
      <c r="X174" s="18">
        <f>IF(W174&lt;&gt;"",W174,V174)</f>
        <v/>
      </c>
      <c r="Y174" s="18">
        <f>IF(X174="","",X174*설정!$B$4)</f>
        <v/>
      </c>
      <c r="Z174" s="18">
        <f>IF(OR(X174="",O174=""),"",X174-Y174-O174-설정!$B$7)</f>
        <v/>
      </c>
      <c r="AA174" s="19">
        <f>IF(OR(Z174="",X174=0),"",Z174/X174)</f>
        <v/>
      </c>
      <c r="AB174" s="18">
        <f>IF(OR(T174="",O174=""),"",(T174+설정!$B$10)*(1-설정!$B$5)-O174)</f>
        <v/>
      </c>
      <c r="AC174" s="18">
        <f>IF(OR(T174="",O174=""),"",(T174+설정!$B$10)*(1-설정!$B$6)-O174)</f>
        <v/>
      </c>
      <c r="AD174" s="14">
        <f>IF(B174="","",IF(OR(O174="",T174=""),"가격 입력 필요",IF(Z174&lt;=0,"❌ 제외",IF(AND(P174="도매꾹",N174&gt;1),"⚠️ 최소수량 확인",IF(AND(AA174&gt;=설정!$B$8,Z174&gt;=설정!$B$9),"✅ 판매추천",IF(Z174&gt;0,"⚠️ 마진부족","❌ 제외"))))))</f>
        <v/>
      </c>
      <c r="AE174" s="15" t="n"/>
    </row>
    <row r="175">
      <c r="A175" s="14" t="n">
        <v>171</v>
      </c>
      <c r="B175" s="15" t="n"/>
      <c r="C175" s="15" t="n"/>
      <c r="D175" s="16" t="n"/>
      <c r="E175" s="17" t="n"/>
      <c r="F175" s="17" t="n"/>
      <c r="G175" s="18">
        <f>IF(E175="","",E175+F175)</f>
        <v/>
      </c>
      <c r="H175" s="17" t="n"/>
      <c r="I175" s="17" t="n"/>
      <c r="J175" s="18">
        <f>IF(H175="","",H175+I175)</f>
        <v/>
      </c>
      <c r="K175" s="17" t="n"/>
      <c r="L175" s="17" t="n"/>
      <c r="M175" s="18">
        <f>IF(K175="","",K175+L175)</f>
        <v/>
      </c>
      <c r="N175" s="16" t="n"/>
      <c r="O175" s="18">
        <f>IF(COUNT(G175,J175,M175)=0,"",MIN(G175,J175,M175))</f>
        <v/>
      </c>
      <c r="P175" s="14">
        <f>IF(O175="","",IF(O175=G175,"스페셜오퍼",IF(O175=J175,"도매매","도매꾹")))</f>
        <v/>
      </c>
      <c r="Q175" s="18">
        <f>IF(COUNT(G175,J175,M175)&lt;2,"",MAX(G175,J175,M175)-MIN(G175,J175,M175))</f>
        <v/>
      </c>
      <c r="R175" s="17" t="n"/>
      <c r="S175" s="17" t="n"/>
      <c r="T175" s="18">
        <f>IF(COUNT(R175,S175)=0,"",MIN(R175,S175))</f>
        <v/>
      </c>
      <c r="U175" s="19">
        <f>IF(OR(O175="",T175=""),"",O175/T175)</f>
        <v/>
      </c>
      <c r="V175" s="18">
        <f>IF(T175="","",ROUNDDOWN(T175*(1-설정!$B$3),-2))</f>
        <v/>
      </c>
      <c r="W175" s="17" t="n"/>
      <c r="X175" s="18">
        <f>IF(W175&lt;&gt;"",W175,V175)</f>
        <v/>
      </c>
      <c r="Y175" s="18">
        <f>IF(X175="","",X175*설정!$B$4)</f>
        <v/>
      </c>
      <c r="Z175" s="18">
        <f>IF(OR(X175="",O175=""),"",X175-Y175-O175-설정!$B$7)</f>
        <v/>
      </c>
      <c r="AA175" s="19">
        <f>IF(OR(Z175="",X175=0),"",Z175/X175)</f>
        <v/>
      </c>
      <c r="AB175" s="18">
        <f>IF(OR(T175="",O175=""),"",(T175+설정!$B$10)*(1-설정!$B$5)-O175)</f>
        <v/>
      </c>
      <c r="AC175" s="18">
        <f>IF(OR(T175="",O175=""),"",(T175+설정!$B$10)*(1-설정!$B$6)-O175)</f>
        <v/>
      </c>
      <c r="AD175" s="14">
        <f>IF(B175="","",IF(OR(O175="",T175=""),"가격 입력 필요",IF(Z175&lt;=0,"❌ 제외",IF(AND(P175="도매꾹",N175&gt;1),"⚠️ 최소수량 확인",IF(AND(AA175&gt;=설정!$B$8,Z175&gt;=설정!$B$9),"✅ 판매추천",IF(Z175&gt;0,"⚠️ 마진부족","❌ 제외"))))))</f>
        <v/>
      </c>
      <c r="AE175" s="15" t="n"/>
    </row>
    <row r="176">
      <c r="A176" s="14" t="n">
        <v>172</v>
      </c>
      <c r="B176" s="15" t="n"/>
      <c r="C176" s="15" t="n"/>
      <c r="D176" s="16" t="n"/>
      <c r="E176" s="17" t="n"/>
      <c r="F176" s="17" t="n"/>
      <c r="G176" s="18">
        <f>IF(E176="","",E176+F176)</f>
        <v/>
      </c>
      <c r="H176" s="17" t="n"/>
      <c r="I176" s="17" t="n"/>
      <c r="J176" s="18">
        <f>IF(H176="","",H176+I176)</f>
        <v/>
      </c>
      <c r="K176" s="17" t="n"/>
      <c r="L176" s="17" t="n"/>
      <c r="M176" s="18">
        <f>IF(K176="","",K176+L176)</f>
        <v/>
      </c>
      <c r="N176" s="16" t="n"/>
      <c r="O176" s="18">
        <f>IF(COUNT(G176,J176,M176)=0,"",MIN(G176,J176,M176))</f>
        <v/>
      </c>
      <c r="P176" s="14">
        <f>IF(O176="","",IF(O176=G176,"스페셜오퍼",IF(O176=J176,"도매매","도매꾹")))</f>
        <v/>
      </c>
      <c r="Q176" s="18">
        <f>IF(COUNT(G176,J176,M176)&lt;2,"",MAX(G176,J176,M176)-MIN(G176,J176,M176))</f>
        <v/>
      </c>
      <c r="R176" s="17" t="n"/>
      <c r="S176" s="17" t="n"/>
      <c r="T176" s="18">
        <f>IF(COUNT(R176,S176)=0,"",MIN(R176,S176))</f>
        <v/>
      </c>
      <c r="U176" s="19">
        <f>IF(OR(O176="",T176=""),"",O176/T176)</f>
        <v/>
      </c>
      <c r="V176" s="18">
        <f>IF(T176="","",ROUNDDOWN(T176*(1-설정!$B$3),-2))</f>
        <v/>
      </c>
      <c r="W176" s="17" t="n"/>
      <c r="X176" s="18">
        <f>IF(W176&lt;&gt;"",W176,V176)</f>
        <v/>
      </c>
      <c r="Y176" s="18">
        <f>IF(X176="","",X176*설정!$B$4)</f>
        <v/>
      </c>
      <c r="Z176" s="18">
        <f>IF(OR(X176="",O176=""),"",X176-Y176-O176-설정!$B$7)</f>
        <v/>
      </c>
      <c r="AA176" s="19">
        <f>IF(OR(Z176="",X176=0),"",Z176/X176)</f>
        <v/>
      </c>
      <c r="AB176" s="18">
        <f>IF(OR(T176="",O176=""),"",(T176+설정!$B$10)*(1-설정!$B$5)-O176)</f>
        <v/>
      </c>
      <c r="AC176" s="18">
        <f>IF(OR(T176="",O176=""),"",(T176+설정!$B$10)*(1-설정!$B$6)-O176)</f>
        <v/>
      </c>
      <c r="AD176" s="14">
        <f>IF(B176="","",IF(OR(O176="",T176=""),"가격 입력 필요",IF(Z176&lt;=0,"❌ 제외",IF(AND(P176="도매꾹",N176&gt;1),"⚠️ 최소수량 확인",IF(AND(AA176&gt;=설정!$B$8,Z176&gt;=설정!$B$9),"✅ 판매추천",IF(Z176&gt;0,"⚠️ 마진부족","❌ 제외"))))))</f>
        <v/>
      </c>
      <c r="AE176" s="15" t="n"/>
    </row>
    <row r="177">
      <c r="A177" s="14" t="n">
        <v>173</v>
      </c>
      <c r="B177" s="15" t="n"/>
      <c r="C177" s="15" t="n"/>
      <c r="D177" s="16" t="n"/>
      <c r="E177" s="17" t="n"/>
      <c r="F177" s="17" t="n"/>
      <c r="G177" s="18">
        <f>IF(E177="","",E177+F177)</f>
        <v/>
      </c>
      <c r="H177" s="17" t="n"/>
      <c r="I177" s="17" t="n"/>
      <c r="J177" s="18">
        <f>IF(H177="","",H177+I177)</f>
        <v/>
      </c>
      <c r="K177" s="17" t="n"/>
      <c r="L177" s="17" t="n"/>
      <c r="M177" s="18">
        <f>IF(K177="","",K177+L177)</f>
        <v/>
      </c>
      <c r="N177" s="16" t="n"/>
      <c r="O177" s="18">
        <f>IF(COUNT(G177,J177,M177)=0,"",MIN(G177,J177,M177))</f>
        <v/>
      </c>
      <c r="P177" s="14">
        <f>IF(O177="","",IF(O177=G177,"스페셜오퍼",IF(O177=J177,"도매매","도매꾹")))</f>
        <v/>
      </c>
      <c r="Q177" s="18">
        <f>IF(COUNT(G177,J177,M177)&lt;2,"",MAX(G177,J177,M177)-MIN(G177,J177,M177))</f>
        <v/>
      </c>
      <c r="R177" s="17" t="n"/>
      <c r="S177" s="17" t="n"/>
      <c r="T177" s="18">
        <f>IF(COUNT(R177,S177)=0,"",MIN(R177,S177))</f>
        <v/>
      </c>
      <c r="U177" s="19">
        <f>IF(OR(O177="",T177=""),"",O177/T177)</f>
        <v/>
      </c>
      <c r="V177" s="18">
        <f>IF(T177="","",ROUNDDOWN(T177*(1-설정!$B$3),-2))</f>
        <v/>
      </c>
      <c r="W177" s="17" t="n"/>
      <c r="X177" s="18">
        <f>IF(W177&lt;&gt;"",W177,V177)</f>
        <v/>
      </c>
      <c r="Y177" s="18">
        <f>IF(X177="","",X177*설정!$B$4)</f>
        <v/>
      </c>
      <c r="Z177" s="18">
        <f>IF(OR(X177="",O177=""),"",X177-Y177-O177-설정!$B$7)</f>
        <v/>
      </c>
      <c r="AA177" s="19">
        <f>IF(OR(Z177="",X177=0),"",Z177/X177)</f>
        <v/>
      </c>
      <c r="AB177" s="18">
        <f>IF(OR(T177="",O177=""),"",(T177+설정!$B$10)*(1-설정!$B$5)-O177)</f>
        <v/>
      </c>
      <c r="AC177" s="18">
        <f>IF(OR(T177="",O177=""),"",(T177+설정!$B$10)*(1-설정!$B$6)-O177)</f>
        <v/>
      </c>
      <c r="AD177" s="14">
        <f>IF(B177="","",IF(OR(O177="",T177=""),"가격 입력 필요",IF(Z177&lt;=0,"❌ 제외",IF(AND(P177="도매꾹",N177&gt;1),"⚠️ 최소수량 확인",IF(AND(AA177&gt;=설정!$B$8,Z177&gt;=설정!$B$9),"✅ 판매추천",IF(Z177&gt;0,"⚠️ 마진부족","❌ 제외"))))))</f>
        <v/>
      </c>
      <c r="AE177" s="15" t="n"/>
    </row>
    <row r="178">
      <c r="A178" s="14" t="n">
        <v>174</v>
      </c>
      <c r="B178" s="15" t="n"/>
      <c r="C178" s="15" t="n"/>
      <c r="D178" s="16" t="n"/>
      <c r="E178" s="17" t="n"/>
      <c r="F178" s="17" t="n"/>
      <c r="G178" s="18">
        <f>IF(E178="","",E178+F178)</f>
        <v/>
      </c>
      <c r="H178" s="17" t="n"/>
      <c r="I178" s="17" t="n"/>
      <c r="J178" s="18">
        <f>IF(H178="","",H178+I178)</f>
        <v/>
      </c>
      <c r="K178" s="17" t="n"/>
      <c r="L178" s="17" t="n"/>
      <c r="M178" s="18">
        <f>IF(K178="","",K178+L178)</f>
        <v/>
      </c>
      <c r="N178" s="16" t="n"/>
      <c r="O178" s="18">
        <f>IF(COUNT(G178,J178,M178)=0,"",MIN(G178,J178,M178))</f>
        <v/>
      </c>
      <c r="P178" s="14">
        <f>IF(O178="","",IF(O178=G178,"스페셜오퍼",IF(O178=J178,"도매매","도매꾹")))</f>
        <v/>
      </c>
      <c r="Q178" s="18">
        <f>IF(COUNT(G178,J178,M178)&lt;2,"",MAX(G178,J178,M178)-MIN(G178,J178,M178))</f>
        <v/>
      </c>
      <c r="R178" s="17" t="n"/>
      <c r="S178" s="17" t="n"/>
      <c r="T178" s="18">
        <f>IF(COUNT(R178,S178)=0,"",MIN(R178,S178))</f>
        <v/>
      </c>
      <c r="U178" s="19">
        <f>IF(OR(O178="",T178=""),"",O178/T178)</f>
        <v/>
      </c>
      <c r="V178" s="18">
        <f>IF(T178="","",ROUNDDOWN(T178*(1-설정!$B$3),-2))</f>
        <v/>
      </c>
      <c r="W178" s="17" t="n"/>
      <c r="X178" s="18">
        <f>IF(W178&lt;&gt;"",W178,V178)</f>
        <v/>
      </c>
      <c r="Y178" s="18">
        <f>IF(X178="","",X178*설정!$B$4)</f>
        <v/>
      </c>
      <c r="Z178" s="18">
        <f>IF(OR(X178="",O178=""),"",X178-Y178-O178-설정!$B$7)</f>
        <v/>
      </c>
      <c r="AA178" s="19">
        <f>IF(OR(Z178="",X178=0),"",Z178/X178)</f>
        <v/>
      </c>
      <c r="AB178" s="18">
        <f>IF(OR(T178="",O178=""),"",(T178+설정!$B$10)*(1-설정!$B$5)-O178)</f>
        <v/>
      </c>
      <c r="AC178" s="18">
        <f>IF(OR(T178="",O178=""),"",(T178+설정!$B$10)*(1-설정!$B$6)-O178)</f>
        <v/>
      </c>
      <c r="AD178" s="14">
        <f>IF(B178="","",IF(OR(O178="",T178=""),"가격 입력 필요",IF(Z178&lt;=0,"❌ 제외",IF(AND(P178="도매꾹",N178&gt;1),"⚠️ 최소수량 확인",IF(AND(AA178&gt;=설정!$B$8,Z178&gt;=설정!$B$9),"✅ 판매추천",IF(Z178&gt;0,"⚠️ 마진부족","❌ 제외"))))))</f>
        <v/>
      </c>
      <c r="AE178" s="15" t="n"/>
    </row>
    <row r="179">
      <c r="A179" s="14" t="n">
        <v>175</v>
      </c>
      <c r="B179" s="15" t="n"/>
      <c r="C179" s="15" t="n"/>
      <c r="D179" s="16" t="n"/>
      <c r="E179" s="17" t="n"/>
      <c r="F179" s="17" t="n"/>
      <c r="G179" s="18">
        <f>IF(E179="","",E179+F179)</f>
        <v/>
      </c>
      <c r="H179" s="17" t="n"/>
      <c r="I179" s="17" t="n"/>
      <c r="J179" s="18">
        <f>IF(H179="","",H179+I179)</f>
        <v/>
      </c>
      <c r="K179" s="17" t="n"/>
      <c r="L179" s="17" t="n"/>
      <c r="M179" s="18">
        <f>IF(K179="","",K179+L179)</f>
        <v/>
      </c>
      <c r="N179" s="16" t="n"/>
      <c r="O179" s="18">
        <f>IF(COUNT(G179,J179,M179)=0,"",MIN(G179,J179,M179))</f>
        <v/>
      </c>
      <c r="P179" s="14">
        <f>IF(O179="","",IF(O179=G179,"스페셜오퍼",IF(O179=J179,"도매매","도매꾹")))</f>
        <v/>
      </c>
      <c r="Q179" s="18">
        <f>IF(COUNT(G179,J179,M179)&lt;2,"",MAX(G179,J179,M179)-MIN(G179,J179,M179))</f>
        <v/>
      </c>
      <c r="R179" s="17" t="n"/>
      <c r="S179" s="17" t="n"/>
      <c r="T179" s="18">
        <f>IF(COUNT(R179,S179)=0,"",MIN(R179,S179))</f>
        <v/>
      </c>
      <c r="U179" s="19">
        <f>IF(OR(O179="",T179=""),"",O179/T179)</f>
        <v/>
      </c>
      <c r="V179" s="18">
        <f>IF(T179="","",ROUNDDOWN(T179*(1-설정!$B$3),-2))</f>
        <v/>
      </c>
      <c r="W179" s="17" t="n"/>
      <c r="X179" s="18">
        <f>IF(W179&lt;&gt;"",W179,V179)</f>
        <v/>
      </c>
      <c r="Y179" s="18">
        <f>IF(X179="","",X179*설정!$B$4)</f>
        <v/>
      </c>
      <c r="Z179" s="18">
        <f>IF(OR(X179="",O179=""),"",X179-Y179-O179-설정!$B$7)</f>
        <v/>
      </c>
      <c r="AA179" s="19">
        <f>IF(OR(Z179="",X179=0),"",Z179/X179)</f>
        <v/>
      </c>
      <c r="AB179" s="18">
        <f>IF(OR(T179="",O179=""),"",(T179+설정!$B$10)*(1-설정!$B$5)-O179)</f>
        <v/>
      </c>
      <c r="AC179" s="18">
        <f>IF(OR(T179="",O179=""),"",(T179+설정!$B$10)*(1-설정!$B$6)-O179)</f>
        <v/>
      </c>
      <c r="AD179" s="14">
        <f>IF(B179="","",IF(OR(O179="",T179=""),"가격 입력 필요",IF(Z179&lt;=0,"❌ 제외",IF(AND(P179="도매꾹",N179&gt;1),"⚠️ 최소수량 확인",IF(AND(AA179&gt;=설정!$B$8,Z179&gt;=설정!$B$9),"✅ 판매추천",IF(Z179&gt;0,"⚠️ 마진부족","❌ 제외"))))))</f>
        <v/>
      </c>
      <c r="AE179" s="15" t="n"/>
    </row>
    <row r="180">
      <c r="A180" s="14" t="n">
        <v>176</v>
      </c>
      <c r="B180" s="15" t="n"/>
      <c r="C180" s="15" t="n"/>
      <c r="D180" s="16" t="n"/>
      <c r="E180" s="17" t="n"/>
      <c r="F180" s="17" t="n"/>
      <c r="G180" s="18">
        <f>IF(E180="","",E180+F180)</f>
        <v/>
      </c>
      <c r="H180" s="17" t="n"/>
      <c r="I180" s="17" t="n"/>
      <c r="J180" s="18">
        <f>IF(H180="","",H180+I180)</f>
        <v/>
      </c>
      <c r="K180" s="17" t="n"/>
      <c r="L180" s="17" t="n"/>
      <c r="M180" s="18">
        <f>IF(K180="","",K180+L180)</f>
        <v/>
      </c>
      <c r="N180" s="16" t="n"/>
      <c r="O180" s="18">
        <f>IF(COUNT(G180,J180,M180)=0,"",MIN(G180,J180,M180))</f>
        <v/>
      </c>
      <c r="P180" s="14">
        <f>IF(O180="","",IF(O180=G180,"스페셜오퍼",IF(O180=J180,"도매매","도매꾹")))</f>
        <v/>
      </c>
      <c r="Q180" s="18">
        <f>IF(COUNT(G180,J180,M180)&lt;2,"",MAX(G180,J180,M180)-MIN(G180,J180,M180))</f>
        <v/>
      </c>
      <c r="R180" s="17" t="n"/>
      <c r="S180" s="17" t="n"/>
      <c r="T180" s="18">
        <f>IF(COUNT(R180,S180)=0,"",MIN(R180,S180))</f>
        <v/>
      </c>
      <c r="U180" s="19">
        <f>IF(OR(O180="",T180=""),"",O180/T180)</f>
        <v/>
      </c>
      <c r="V180" s="18">
        <f>IF(T180="","",ROUNDDOWN(T180*(1-설정!$B$3),-2))</f>
        <v/>
      </c>
      <c r="W180" s="17" t="n"/>
      <c r="X180" s="18">
        <f>IF(W180&lt;&gt;"",W180,V180)</f>
        <v/>
      </c>
      <c r="Y180" s="18">
        <f>IF(X180="","",X180*설정!$B$4)</f>
        <v/>
      </c>
      <c r="Z180" s="18">
        <f>IF(OR(X180="",O180=""),"",X180-Y180-O180-설정!$B$7)</f>
        <v/>
      </c>
      <c r="AA180" s="19">
        <f>IF(OR(Z180="",X180=0),"",Z180/X180)</f>
        <v/>
      </c>
      <c r="AB180" s="18">
        <f>IF(OR(T180="",O180=""),"",(T180+설정!$B$10)*(1-설정!$B$5)-O180)</f>
        <v/>
      </c>
      <c r="AC180" s="18">
        <f>IF(OR(T180="",O180=""),"",(T180+설정!$B$10)*(1-설정!$B$6)-O180)</f>
        <v/>
      </c>
      <c r="AD180" s="14">
        <f>IF(B180="","",IF(OR(O180="",T180=""),"가격 입력 필요",IF(Z180&lt;=0,"❌ 제외",IF(AND(P180="도매꾹",N180&gt;1),"⚠️ 최소수량 확인",IF(AND(AA180&gt;=설정!$B$8,Z180&gt;=설정!$B$9),"✅ 판매추천",IF(Z180&gt;0,"⚠️ 마진부족","❌ 제외"))))))</f>
        <v/>
      </c>
      <c r="AE180" s="15" t="n"/>
    </row>
    <row r="181">
      <c r="A181" s="14" t="n">
        <v>177</v>
      </c>
      <c r="B181" s="15" t="n"/>
      <c r="C181" s="15" t="n"/>
      <c r="D181" s="16" t="n"/>
      <c r="E181" s="17" t="n"/>
      <c r="F181" s="17" t="n"/>
      <c r="G181" s="18">
        <f>IF(E181="","",E181+F181)</f>
        <v/>
      </c>
      <c r="H181" s="17" t="n"/>
      <c r="I181" s="17" t="n"/>
      <c r="J181" s="18">
        <f>IF(H181="","",H181+I181)</f>
        <v/>
      </c>
      <c r="K181" s="17" t="n"/>
      <c r="L181" s="17" t="n"/>
      <c r="M181" s="18">
        <f>IF(K181="","",K181+L181)</f>
        <v/>
      </c>
      <c r="N181" s="16" t="n"/>
      <c r="O181" s="18">
        <f>IF(COUNT(G181,J181,M181)=0,"",MIN(G181,J181,M181))</f>
        <v/>
      </c>
      <c r="P181" s="14">
        <f>IF(O181="","",IF(O181=G181,"스페셜오퍼",IF(O181=J181,"도매매","도매꾹")))</f>
        <v/>
      </c>
      <c r="Q181" s="18">
        <f>IF(COUNT(G181,J181,M181)&lt;2,"",MAX(G181,J181,M181)-MIN(G181,J181,M181))</f>
        <v/>
      </c>
      <c r="R181" s="17" t="n"/>
      <c r="S181" s="17" t="n"/>
      <c r="T181" s="18">
        <f>IF(COUNT(R181,S181)=0,"",MIN(R181,S181))</f>
        <v/>
      </c>
      <c r="U181" s="19">
        <f>IF(OR(O181="",T181=""),"",O181/T181)</f>
        <v/>
      </c>
      <c r="V181" s="18">
        <f>IF(T181="","",ROUNDDOWN(T181*(1-설정!$B$3),-2))</f>
        <v/>
      </c>
      <c r="W181" s="17" t="n"/>
      <c r="X181" s="18">
        <f>IF(W181&lt;&gt;"",W181,V181)</f>
        <v/>
      </c>
      <c r="Y181" s="18">
        <f>IF(X181="","",X181*설정!$B$4)</f>
        <v/>
      </c>
      <c r="Z181" s="18">
        <f>IF(OR(X181="",O181=""),"",X181-Y181-O181-설정!$B$7)</f>
        <v/>
      </c>
      <c r="AA181" s="19">
        <f>IF(OR(Z181="",X181=0),"",Z181/X181)</f>
        <v/>
      </c>
      <c r="AB181" s="18">
        <f>IF(OR(T181="",O181=""),"",(T181+설정!$B$10)*(1-설정!$B$5)-O181)</f>
        <v/>
      </c>
      <c r="AC181" s="18">
        <f>IF(OR(T181="",O181=""),"",(T181+설정!$B$10)*(1-설정!$B$6)-O181)</f>
        <v/>
      </c>
      <c r="AD181" s="14">
        <f>IF(B181="","",IF(OR(O181="",T181=""),"가격 입력 필요",IF(Z181&lt;=0,"❌ 제외",IF(AND(P181="도매꾹",N181&gt;1),"⚠️ 최소수량 확인",IF(AND(AA181&gt;=설정!$B$8,Z181&gt;=설정!$B$9),"✅ 판매추천",IF(Z181&gt;0,"⚠️ 마진부족","❌ 제외"))))))</f>
        <v/>
      </c>
      <c r="AE181" s="15" t="n"/>
    </row>
    <row r="182">
      <c r="A182" s="14" t="n">
        <v>178</v>
      </c>
      <c r="B182" s="15" t="n"/>
      <c r="C182" s="15" t="n"/>
      <c r="D182" s="16" t="n"/>
      <c r="E182" s="17" t="n"/>
      <c r="F182" s="17" t="n"/>
      <c r="G182" s="18">
        <f>IF(E182="","",E182+F182)</f>
        <v/>
      </c>
      <c r="H182" s="17" t="n"/>
      <c r="I182" s="17" t="n"/>
      <c r="J182" s="18">
        <f>IF(H182="","",H182+I182)</f>
        <v/>
      </c>
      <c r="K182" s="17" t="n"/>
      <c r="L182" s="17" t="n"/>
      <c r="M182" s="18">
        <f>IF(K182="","",K182+L182)</f>
        <v/>
      </c>
      <c r="N182" s="16" t="n"/>
      <c r="O182" s="18">
        <f>IF(COUNT(G182,J182,M182)=0,"",MIN(G182,J182,M182))</f>
        <v/>
      </c>
      <c r="P182" s="14">
        <f>IF(O182="","",IF(O182=G182,"스페셜오퍼",IF(O182=J182,"도매매","도매꾹")))</f>
        <v/>
      </c>
      <c r="Q182" s="18">
        <f>IF(COUNT(G182,J182,M182)&lt;2,"",MAX(G182,J182,M182)-MIN(G182,J182,M182))</f>
        <v/>
      </c>
      <c r="R182" s="17" t="n"/>
      <c r="S182" s="17" t="n"/>
      <c r="T182" s="18">
        <f>IF(COUNT(R182,S182)=0,"",MIN(R182,S182))</f>
        <v/>
      </c>
      <c r="U182" s="19">
        <f>IF(OR(O182="",T182=""),"",O182/T182)</f>
        <v/>
      </c>
      <c r="V182" s="18">
        <f>IF(T182="","",ROUNDDOWN(T182*(1-설정!$B$3),-2))</f>
        <v/>
      </c>
      <c r="W182" s="17" t="n"/>
      <c r="X182" s="18">
        <f>IF(W182&lt;&gt;"",W182,V182)</f>
        <v/>
      </c>
      <c r="Y182" s="18">
        <f>IF(X182="","",X182*설정!$B$4)</f>
        <v/>
      </c>
      <c r="Z182" s="18">
        <f>IF(OR(X182="",O182=""),"",X182-Y182-O182-설정!$B$7)</f>
        <v/>
      </c>
      <c r="AA182" s="19">
        <f>IF(OR(Z182="",X182=0),"",Z182/X182)</f>
        <v/>
      </c>
      <c r="AB182" s="18">
        <f>IF(OR(T182="",O182=""),"",(T182+설정!$B$10)*(1-설정!$B$5)-O182)</f>
        <v/>
      </c>
      <c r="AC182" s="18">
        <f>IF(OR(T182="",O182=""),"",(T182+설정!$B$10)*(1-설정!$B$6)-O182)</f>
        <v/>
      </c>
      <c r="AD182" s="14">
        <f>IF(B182="","",IF(OR(O182="",T182=""),"가격 입력 필요",IF(Z182&lt;=0,"❌ 제외",IF(AND(P182="도매꾹",N182&gt;1),"⚠️ 최소수량 확인",IF(AND(AA182&gt;=설정!$B$8,Z182&gt;=설정!$B$9),"✅ 판매추천",IF(Z182&gt;0,"⚠️ 마진부족","❌ 제외"))))))</f>
        <v/>
      </c>
      <c r="AE182" s="15" t="n"/>
    </row>
    <row r="183">
      <c r="A183" s="14" t="n">
        <v>179</v>
      </c>
      <c r="B183" s="15" t="n"/>
      <c r="C183" s="15" t="n"/>
      <c r="D183" s="16" t="n"/>
      <c r="E183" s="17" t="n"/>
      <c r="F183" s="17" t="n"/>
      <c r="G183" s="18">
        <f>IF(E183="","",E183+F183)</f>
        <v/>
      </c>
      <c r="H183" s="17" t="n"/>
      <c r="I183" s="17" t="n"/>
      <c r="J183" s="18">
        <f>IF(H183="","",H183+I183)</f>
        <v/>
      </c>
      <c r="K183" s="17" t="n"/>
      <c r="L183" s="17" t="n"/>
      <c r="M183" s="18">
        <f>IF(K183="","",K183+L183)</f>
        <v/>
      </c>
      <c r="N183" s="16" t="n"/>
      <c r="O183" s="18">
        <f>IF(COUNT(G183,J183,M183)=0,"",MIN(G183,J183,M183))</f>
        <v/>
      </c>
      <c r="P183" s="14">
        <f>IF(O183="","",IF(O183=G183,"스페셜오퍼",IF(O183=J183,"도매매","도매꾹")))</f>
        <v/>
      </c>
      <c r="Q183" s="18">
        <f>IF(COUNT(G183,J183,M183)&lt;2,"",MAX(G183,J183,M183)-MIN(G183,J183,M183))</f>
        <v/>
      </c>
      <c r="R183" s="17" t="n"/>
      <c r="S183" s="17" t="n"/>
      <c r="T183" s="18">
        <f>IF(COUNT(R183,S183)=0,"",MIN(R183,S183))</f>
        <v/>
      </c>
      <c r="U183" s="19">
        <f>IF(OR(O183="",T183=""),"",O183/T183)</f>
        <v/>
      </c>
      <c r="V183" s="18">
        <f>IF(T183="","",ROUNDDOWN(T183*(1-설정!$B$3),-2))</f>
        <v/>
      </c>
      <c r="W183" s="17" t="n"/>
      <c r="X183" s="18">
        <f>IF(W183&lt;&gt;"",W183,V183)</f>
        <v/>
      </c>
      <c r="Y183" s="18">
        <f>IF(X183="","",X183*설정!$B$4)</f>
        <v/>
      </c>
      <c r="Z183" s="18">
        <f>IF(OR(X183="",O183=""),"",X183-Y183-O183-설정!$B$7)</f>
        <v/>
      </c>
      <c r="AA183" s="19">
        <f>IF(OR(Z183="",X183=0),"",Z183/X183)</f>
        <v/>
      </c>
      <c r="AB183" s="18">
        <f>IF(OR(T183="",O183=""),"",(T183+설정!$B$10)*(1-설정!$B$5)-O183)</f>
        <v/>
      </c>
      <c r="AC183" s="18">
        <f>IF(OR(T183="",O183=""),"",(T183+설정!$B$10)*(1-설정!$B$6)-O183)</f>
        <v/>
      </c>
      <c r="AD183" s="14">
        <f>IF(B183="","",IF(OR(O183="",T183=""),"가격 입력 필요",IF(Z183&lt;=0,"❌ 제외",IF(AND(P183="도매꾹",N183&gt;1),"⚠️ 최소수량 확인",IF(AND(AA183&gt;=설정!$B$8,Z183&gt;=설정!$B$9),"✅ 판매추천",IF(Z183&gt;0,"⚠️ 마진부족","❌ 제외"))))))</f>
        <v/>
      </c>
      <c r="AE183" s="15" t="n"/>
    </row>
    <row r="184">
      <c r="A184" s="14" t="n">
        <v>180</v>
      </c>
      <c r="B184" s="15" t="n"/>
      <c r="C184" s="15" t="n"/>
      <c r="D184" s="16" t="n"/>
      <c r="E184" s="17" t="n"/>
      <c r="F184" s="17" t="n"/>
      <c r="G184" s="18">
        <f>IF(E184="","",E184+F184)</f>
        <v/>
      </c>
      <c r="H184" s="17" t="n"/>
      <c r="I184" s="17" t="n"/>
      <c r="J184" s="18">
        <f>IF(H184="","",H184+I184)</f>
        <v/>
      </c>
      <c r="K184" s="17" t="n"/>
      <c r="L184" s="17" t="n"/>
      <c r="M184" s="18">
        <f>IF(K184="","",K184+L184)</f>
        <v/>
      </c>
      <c r="N184" s="16" t="n"/>
      <c r="O184" s="18">
        <f>IF(COUNT(G184,J184,M184)=0,"",MIN(G184,J184,M184))</f>
        <v/>
      </c>
      <c r="P184" s="14">
        <f>IF(O184="","",IF(O184=G184,"스페셜오퍼",IF(O184=J184,"도매매","도매꾹")))</f>
        <v/>
      </c>
      <c r="Q184" s="18">
        <f>IF(COUNT(G184,J184,M184)&lt;2,"",MAX(G184,J184,M184)-MIN(G184,J184,M184))</f>
        <v/>
      </c>
      <c r="R184" s="17" t="n"/>
      <c r="S184" s="17" t="n"/>
      <c r="T184" s="18">
        <f>IF(COUNT(R184,S184)=0,"",MIN(R184,S184))</f>
        <v/>
      </c>
      <c r="U184" s="19">
        <f>IF(OR(O184="",T184=""),"",O184/T184)</f>
        <v/>
      </c>
      <c r="V184" s="18">
        <f>IF(T184="","",ROUNDDOWN(T184*(1-설정!$B$3),-2))</f>
        <v/>
      </c>
      <c r="W184" s="17" t="n"/>
      <c r="X184" s="18">
        <f>IF(W184&lt;&gt;"",W184,V184)</f>
        <v/>
      </c>
      <c r="Y184" s="18">
        <f>IF(X184="","",X184*설정!$B$4)</f>
        <v/>
      </c>
      <c r="Z184" s="18">
        <f>IF(OR(X184="",O184=""),"",X184-Y184-O184-설정!$B$7)</f>
        <v/>
      </c>
      <c r="AA184" s="19">
        <f>IF(OR(Z184="",X184=0),"",Z184/X184)</f>
        <v/>
      </c>
      <c r="AB184" s="18">
        <f>IF(OR(T184="",O184=""),"",(T184+설정!$B$10)*(1-설정!$B$5)-O184)</f>
        <v/>
      </c>
      <c r="AC184" s="18">
        <f>IF(OR(T184="",O184=""),"",(T184+설정!$B$10)*(1-설정!$B$6)-O184)</f>
        <v/>
      </c>
      <c r="AD184" s="14">
        <f>IF(B184="","",IF(OR(O184="",T184=""),"가격 입력 필요",IF(Z184&lt;=0,"❌ 제외",IF(AND(P184="도매꾹",N184&gt;1),"⚠️ 최소수량 확인",IF(AND(AA184&gt;=설정!$B$8,Z184&gt;=설정!$B$9),"✅ 판매추천",IF(Z184&gt;0,"⚠️ 마진부족","❌ 제외"))))))</f>
        <v/>
      </c>
      <c r="AE184" s="15" t="n"/>
    </row>
    <row r="185">
      <c r="A185" s="14" t="n">
        <v>181</v>
      </c>
      <c r="B185" s="15" t="n"/>
      <c r="C185" s="15" t="n"/>
      <c r="D185" s="16" t="n"/>
      <c r="E185" s="17" t="n"/>
      <c r="F185" s="17" t="n"/>
      <c r="G185" s="18">
        <f>IF(E185="","",E185+F185)</f>
        <v/>
      </c>
      <c r="H185" s="17" t="n"/>
      <c r="I185" s="17" t="n"/>
      <c r="J185" s="18">
        <f>IF(H185="","",H185+I185)</f>
        <v/>
      </c>
      <c r="K185" s="17" t="n"/>
      <c r="L185" s="17" t="n"/>
      <c r="M185" s="18">
        <f>IF(K185="","",K185+L185)</f>
        <v/>
      </c>
      <c r="N185" s="16" t="n"/>
      <c r="O185" s="18">
        <f>IF(COUNT(G185,J185,M185)=0,"",MIN(G185,J185,M185))</f>
        <v/>
      </c>
      <c r="P185" s="14">
        <f>IF(O185="","",IF(O185=G185,"스페셜오퍼",IF(O185=J185,"도매매","도매꾹")))</f>
        <v/>
      </c>
      <c r="Q185" s="18">
        <f>IF(COUNT(G185,J185,M185)&lt;2,"",MAX(G185,J185,M185)-MIN(G185,J185,M185))</f>
        <v/>
      </c>
      <c r="R185" s="17" t="n"/>
      <c r="S185" s="17" t="n"/>
      <c r="T185" s="18">
        <f>IF(COUNT(R185,S185)=0,"",MIN(R185,S185))</f>
        <v/>
      </c>
      <c r="U185" s="19">
        <f>IF(OR(O185="",T185=""),"",O185/T185)</f>
        <v/>
      </c>
      <c r="V185" s="18">
        <f>IF(T185="","",ROUNDDOWN(T185*(1-설정!$B$3),-2))</f>
        <v/>
      </c>
      <c r="W185" s="17" t="n"/>
      <c r="X185" s="18">
        <f>IF(W185&lt;&gt;"",W185,V185)</f>
        <v/>
      </c>
      <c r="Y185" s="18">
        <f>IF(X185="","",X185*설정!$B$4)</f>
        <v/>
      </c>
      <c r="Z185" s="18">
        <f>IF(OR(X185="",O185=""),"",X185-Y185-O185-설정!$B$7)</f>
        <v/>
      </c>
      <c r="AA185" s="19">
        <f>IF(OR(Z185="",X185=0),"",Z185/X185)</f>
        <v/>
      </c>
      <c r="AB185" s="18">
        <f>IF(OR(T185="",O185=""),"",(T185+설정!$B$10)*(1-설정!$B$5)-O185)</f>
        <v/>
      </c>
      <c r="AC185" s="18">
        <f>IF(OR(T185="",O185=""),"",(T185+설정!$B$10)*(1-설정!$B$6)-O185)</f>
        <v/>
      </c>
      <c r="AD185" s="14">
        <f>IF(B185="","",IF(OR(O185="",T185=""),"가격 입력 필요",IF(Z185&lt;=0,"❌ 제외",IF(AND(P185="도매꾹",N185&gt;1),"⚠️ 최소수량 확인",IF(AND(AA185&gt;=설정!$B$8,Z185&gt;=설정!$B$9),"✅ 판매추천",IF(Z185&gt;0,"⚠️ 마진부족","❌ 제외"))))))</f>
        <v/>
      </c>
      <c r="AE185" s="15" t="n"/>
    </row>
    <row r="186">
      <c r="A186" s="14" t="n">
        <v>182</v>
      </c>
      <c r="B186" s="15" t="n"/>
      <c r="C186" s="15" t="n"/>
      <c r="D186" s="16" t="n"/>
      <c r="E186" s="17" t="n"/>
      <c r="F186" s="17" t="n"/>
      <c r="G186" s="18">
        <f>IF(E186="","",E186+F186)</f>
        <v/>
      </c>
      <c r="H186" s="17" t="n"/>
      <c r="I186" s="17" t="n"/>
      <c r="J186" s="18">
        <f>IF(H186="","",H186+I186)</f>
        <v/>
      </c>
      <c r="K186" s="17" t="n"/>
      <c r="L186" s="17" t="n"/>
      <c r="M186" s="18">
        <f>IF(K186="","",K186+L186)</f>
        <v/>
      </c>
      <c r="N186" s="16" t="n"/>
      <c r="O186" s="18">
        <f>IF(COUNT(G186,J186,M186)=0,"",MIN(G186,J186,M186))</f>
        <v/>
      </c>
      <c r="P186" s="14">
        <f>IF(O186="","",IF(O186=G186,"스페셜오퍼",IF(O186=J186,"도매매","도매꾹")))</f>
        <v/>
      </c>
      <c r="Q186" s="18">
        <f>IF(COUNT(G186,J186,M186)&lt;2,"",MAX(G186,J186,M186)-MIN(G186,J186,M186))</f>
        <v/>
      </c>
      <c r="R186" s="17" t="n"/>
      <c r="S186" s="17" t="n"/>
      <c r="T186" s="18">
        <f>IF(COUNT(R186,S186)=0,"",MIN(R186,S186))</f>
        <v/>
      </c>
      <c r="U186" s="19">
        <f>IF(OR(O186="",T186=""),"",O186/T186)</f>
        <v/>
      </c>
      <c r="V186" s="18">
        <f>IF(T186="","",ROUNDDOWN(T186*(1-설정!$B$3),-2))</f>
        <v/>
      </c>
      <c r="W186" s="17" t="n"/>
      <c r="X186" s="18">
        <f>IF(W186&lt;&gt;"",W186,V186)</f>
        <v/>
      </c>
      <c r="Y186" s="18">
        <f>IF(X186="","",X186*설정!$B$4)</f>
        <v/>
      </c>
      <c r="Z186" s="18">
        <f>IF(OR(X186="",O186=""),"",X186-Y186-O186-설정!$B$7)</f>
        <v/>
      </c>
      <c r="AA186" s="19">
        <f>IF(OR(Z186="",X186=0),"",Z186/X186)</f>
        <v/>
      </c>
      <c r="AB186" s="18">
        <f>IF(OR(T186="",O186=""),"",(T186+설정!$B$10)*(1-설정!$B$5)-O186)</f>
        <v/>
      </c>
      <c r="AC186" s="18">
        <f>IF(OR(T186="",O186=""),"",(T186+설정!$B$10)*(1-설정!$B$6)-O186)</f>
        <v/>
      </c>
      <c r="AD186" s="14">
        <f>IF(B186="","",IF(OR(O186="",T186=""),"가격 입력 필요",IF(Z186&lt;=0,"❌ 제외",IF(AND(P186="도매꾹",N186&gt;1),"⚠️ 최소수량 확인",IF(AND(AA186&gt;=설정!$B$8,Z186&gt;=설정!$B$9),"✅ 판매추천",IF(Z186&gt;0,"⚠️ 마진부족","❌ 제외"))))))</f>
        <v/>
      </c>
      <c r="AE186" s="15" t="n"/>
    </row>
    <row r="187">
      <c r="A187" s="14" t="n">
        <v>183</v>
      </c>
      <c r="B187" s="15" t="n"/>
      <c r="C187" s="15" t="n"/>
      <c r="D187" s="16" t="n"/>
      <c r="E187" s="17" t="n"/>
      <c r="F187" s="17" t="n"/>
      <c r="G187" s="18">
        <f>IF(E187="","",E187+F187)</f>
        <v/>
      </c>
      <c r="H187" s="17" t="n"/>
      <c r="I187" s="17" t="n"/>
      <c r="J187" s="18">
        <f>IF(H187="","",H187+I187)</f>
        <v/>
      </c>
      <c r="K187" s="17" t="n"/>
      <c r="L187" s="17" t="n"/>
      <c r="M187" s="18">
        <f>IF(K187="","",K187+L187)</f>
        <v/>
      </c>
      <c r="N187" s="16" t="n"/>
      <c r="O187" s="18">
        <f>IF(COUNT(G187,J187,M187)=0,"",MIN(G187,J187,M187))</f>
        <v/>
      </c>
      <c r="P187" s="14">
        <f>IF(O187="","",IF(O187=G187,"스페셜오퍼",IF(O187=J187,"도매매","도매꾹")))</f>
        <v/>
      </c>
      <c r="Q187" s="18">
        <f>IF(COUNT(G187,J187,M187)&lt;2,"",MAX(G187,J187,M187)-MIN(G187,J187,M187))</f>
        <v/>
      </c>
      <c r="R187" s="17" t="n"/>
      <c r="S187" s="17" t="n"/>
      <c r="T187" s="18">
        <f>IF(COUNT(R187,S187)=0,"",MIN(R187,S187))</f>
        <v/>
      </c>
      <c r="U187" s="19">
        <f>IF(OR(O187="",T187=""),"",O187/T187)</f>
        <v/>
      </c>
      <c r="V187" s="18">
        <f>IF(T187="","",ROUNDDOWN(T187*(1-설정!$B$3),-2))</f>
        <v/>
      </c>
      <c r="W187" s="17" t="n"/>
      <c r="X187" s="18">
        <f>IF(W187&lt;&gt;"",W187,V187)</f>
        <v/>
      </c>
      <c r="Y187" s="18">
        <f>IF(X187="","",X187*설정!$B$4)</f>
        <v/>
      </c>
      <c r="Z187" s="18">
        <f>IF(OR(X187="",O187=""),"",X187-Y187-O187-설정!$B$7)</f>
        <v/>
      </c>
      <c r="AA187" s="19">
        <f>IF(OR(Z187="",X187=0),"",Z187/X187)</f>
        <v/>
      </c>
      <c r="AB187" s="18">
        <f>IF(OR(T187="",O187=""),"",(T187+설정!$B$10)*(1-설정!$B$5)-O187)</f>
        <v/>
      </c>
      <c r="AC187" s="18">
        <f>IF(OR(T187="",O187=""),"",(T187+설정!$B$10)*(1-설정!$B$6)-O187)</f>
        <v/>
      </c>
      <c r="AD187" s="14">
        <f>IF(B187="","",IF(OR(O187="",T187=""),"가격 입력 필요",IF(Z187&lt;=0,"❌ 제외",IF(AND(P187="도매꾹",N187&gt;1),"⚠️ 최소수량 확인",IF(AND(AA187&gt;=설정!$B$8,Z187&gt;=설정!$B$9),"✅ 판매추천",IF(Z187&gt;0,"⚠️ 마진부족","❌ 제외"))))))</f>
        <v/>
      </c>
      <c r="AE187" s="15" t="n"/>
    </row>
    <row r="188">
      <c r="A188" s="14" t="n">
        <v>184</v>
      </c>
      <c r="B188" s="15" t="n"/>
      <c r="C188" s="15" t="n"/>
      <c r="D188" s="16" t="n"/>
      <c r="E188" s="17" t="n"/>
      <c r="F188" s="17" t="n"/>
      <c r="G188" s="18">
        <f>IF(E188="","",E188+F188)</f>
        <v/>
      </c>
      <c r="H188" s="17" t="n"/>
      <c r="I188" s="17" t="n"/>
      <c r="J188" s="18">
        <f>IF(H188="","",H188+I188)</f>
        <v/>
      </c>
      <c r="K188" s="17" t="n"/>
      <c r="L188" s="17" t="n"/>
      <c r="M188" s="18">
        <f>IF(K188="","",K188+L188)</f>
        <v/>
      </c>
      <c r="N188" s="16" t="n"/>
      <c r="O188" s="18">
        <f>IF(COUNT(G188,J188,M188)=0,"",MIN(G188,J188,M188))</f>
        <v/>
      </c>
      <c r="P188" s="14">
        <f>IF(O188="","",IF(O188=G188,"스페셜오퍼",IF(O188=J188,"도매매","도매꾹")))</f>
        <v/>
      </c>
      <c r="Q188" s="18">
        <f>IF(COUNT(G188,J188,M188)&lt;2,"",MAX(G188,J188,M188)-MIN(G188,J188,M188))</f>
        <v/>
      </c>
      <c r="R188" s="17" t="n"/>
      <c r="S188" s="17" t="n"/>
      <c r="T188" s="18">
        <f>IF(COUNT(R188,S188)=0,"",MIN(R188,S188))</f>
        <v/>
      </c>
      <c r="U188" s="19">
        <f>IF(OR(O188="",T188=""),"",O188/T188)</f>
        <v/>
      </c>
      <c r="V188" s="18">
        <f>IF(T188="","",ROUNDDOWN(T188*(1-설정!$B$3),-2))</f>
        <v/>
      </c>
      <c r="W188" s="17" t="n"/>
      <c r="X188" s="18">
        <f>IF(W188&lt;&gt;"",W188,V188)</f>
        <v/>
      </c>
      <c r="Y188" s="18">
        <f>IF(X188="","",X188*설정!$B$4)</f>
        <v/>
      </c>
      <c r="Z188" s="18">
        <f>IF(OR(X188="",O188=""),"",X188-Y188-O188-설정!$B$7)</f>
        <v/>
      </c>
      <c r="AA188" s="19">
        <f>IF(OR(Z188="",X188=0),"",Z188/X188)</f>
        <v/>
      </c>
      <c r="AB188" s="18">
        <f>IF(OR(T188="",O188=""),"",(T188+설정!$B$10)*(1-설정!$B$5)-O188)</f>
        <v/>
      </c>
      <c r="AC188" s="18">
        <f>IF(OR(T188="",O188=""),"",(T188+설정!$B$10)*(1-설정!$B$6)-O188)</f>
        <v/>
      </c>
      <c r="AD188" s="14">
        <f>IF(B188="","",IF(OR(O188="",T188=""),"가격 입력 필요",IF(Z188&lt;=0,"❌ 제외",IF(AND(P188="도매꾹",N188&gt;1),"⚠️ 최소수량 확인",IF(AND(AA188&gt;=설정!$B$8,Z188&gt;=설정!$B$9),"✅ 판매추천",IF(Z188&gt;0,"⚠️ 마진부족","❌ 제외"))))))</f>
        <v/>
      </c>
      <c r="AE188" s="15" t="n"/>
    </row>
    <row r="189">
      <c r="A189" s="14" t="n">
        <v>185</v>
      </c>
      <c r="B189" s="15" t="n"/>
      <c r="C189" s="15" t="n"/>
      <c r="D189" s="16" t="n"/>
      <c r="E189" s="17" t="n"/>
      <c r="F189" s="17" t="n"/>
      <c r="G189" s="18">
        <f>IF(E189="","",E189+F189)</f>
        <v/>
      </c>
      <c r="H189" s="17" t="n"/>
      <c r="I189" s="17" t="n"/>
      <c r="J189" s="18">
        <f>IF(H189="","",H189+I189)</f>
        <v/>
      </c>
      <c r="K189" s="17" t="n"/>
      <c r="L189" s="17" t="n"/>
      <c r="M189" s="18">
        <f>IF(K189="","",K189+L189)</f>
        <v/>
      </c>
      <c r="N189" s="16" t="n"/>
      <c r="O189" s="18">
        <f>IF(COUNT(G189,J189,M189)=0,"",MIN(G189,J189,M189))</f>
        <v/>
      </c>
      <c r="P189" s="14">
        <f>IF(O189="","",IF(O189=G189,"스페셜오퍼",IF(O189=J189,"도매매","도매꾹")))</f>
        <v/>
      </c>
      <c r="Q189" s="18">
        <f>IF(COUNT(G189,J189,M189)&lt;2,"",MAX(G189,J189,M189)-MIN(G189,J189,M189))</f>
        <v/>
      </c>
      <c r="R189" s="17" t="n"/>
      <c r="S189" s="17" t="n"/>
      <c r="T189" s="18">
        <f>IF(COUNT(R189,S189)=0,"",MIN(R189,S189))</f>
        <v/>
      </c>
      <c r="U189" s="19">
        <f>IF(OR(O189="",T189=""),"",O189/T189)</f>
        <v/>
      </c>
      <c r="V189" s="18">
        <f>IF(T189="","",ROUNDDOWN(T189*(1-설정!$B$3),-2))</f>
        <v/>
      </c>
      <c r="W189" s="17" t="n"/>
      <c r="X189" s="18">
        <f>IF(W189&lt;&gt;"",W189,V189)</f>
        <v/>
      </c>
      <c r="Y189" s="18">
        <f>IF(X189="","",X189*설정!$B$4)</f>
        <v/>
      </c>
      <c r="Z189" s="18">
        <f>IF(OR(X189="",O189=""),"",X189-Y189-O189-설정!$B$7)</f>
        <v/>
      </c>
      <c r="AA189" s="19">
        <f>IF(OR(Z189="",X189=0),"",Z189/X189)</f>
        <v/>
      </c>
      <c r="AB189" s="18">
        <f>IF(OR(T189="",O189=""),"",(T189+설정!$B$10)*(1-설정!$B$5)-O189)</f>
        <v/>
      </c>
      <c r="AC189" s="18">
        <f>IF(OR(T189="",O189=""),"",(T189+설정!$B$10)*(1-설정!$B$6)-O189)</f>
        <v/>
      </c>
      <c r="AD189" s="14">
        <f>IF(B189="","",IF(OR(O189="",T189=""),"가격 입력 필요",IF(Z189&lt;=0,"❌ 제외",IF(AND(P189="도매꾹",N189&gt;1),"⚠️ 최소수량 확인",IF(AND(AA189&gt;=설정!$B$8,Z189&gt;=설정!$B$9),"✅ 판매추천",IF(Z189&gt;0,"⚠️ 마진부족","❌ 제외"))))))</f>
        <v/>
      </c>
      <c r="AE189" s="15" t="n"/>
    </row>
    <row r="190">
      <c r="A190" s="14" t="n">
        <v>186</v>
      </c>
      <c r="B190" s="15" t="n"/>
      <c r="C190" s="15" t="n"/>
      <c r="D190" s="16" t="n"/>
      <c r="E190" s="17" t="n"/>
      <c r="F190" s="17" t="n"/>
      <c r="G190" s="18">
        <f>IF(E190="","",E190+F190)</f>
        <v/>
      </c>
      <c r="H190" s="17" t="n"/>
      <c r="I190" s="17" t="n"/>
      <c r="J190" s="18">
        <f>IF(H190="","",H190+I190)</f>
        <v/>
      </c>
      <c r="K190" s="17" t="n"/>
      <c r="L190" s="17" t="n"/>
      <c r="M190" s="18">
        <f>IF(K190="","",K190+L190)</f>
        <v/>
      </c>
      <c r="N190" s="16" t="n"/>
      <c r="O190" s="18">
        <f>IF(COUNT(G190,J190,M190)=0,"",MIN(G190,J190,M190))</f>
        <v/>
      </c>
      <c r="P190" s="14">
        <f>IF(O190="","",IF(O190=G190,"스페셜오퍼",IF(O190=J190,"도매매","도매꾹")))</f>
        <v/>
      </c>
      <c r="Q190" s="18">
        <f>IF(COUNT(G190,J190,M190)&lt;2,"",MAX(G190,J190,M190)-MIN(G190,J190,M190))</f>
        <v/>
      </c>
      <c r="R190" s="17" t="n"/>
      <c r="S190" s="17" t="n"/>
      <c r="T190" s="18">
        <f>IF(COUNT(R190,S190)=0,"",MIN(R190,S190))</f>
        <v/>
      </c>
      <c r="U190" s="19">
        <f>IF(OR(O190="",T190=""),"",O190/T190)</f>
        <v/>
      </c>
      <c r="V190" s="18">
        <f>IF(T190="","",ROUNDDOWN(T190*(1-설정!$B$3),-2))</f>
        <v/>
      </c>
      <c r="W190" s="17" t="n"/>
      <c r="X190" s="18">
        <f>IF(W190&lt;&gt;"",W190,V190)</f>
        <v/>
      </c>
      <c r="Y190" s="18">
        <f>IF(X190="","",X190*설정!$B$4)</f>
        <v/>
      </c>
      <c r="Z190" s="18">
        <f>IF(OR(X190="",O190=""),"",X190-Y190-O190-설정!$B$7)</f>
        <v/>
      </c>
      <c r="AA190" s="19">
        <f>IF(OR(Z190="",X190=0),"",Z190/X190)</f>
        <v/>
      </c>
      <c r="AB190" s="18">
        <f>IF(OR(T190="",O190=""),"",(T190+설정!$B$10)*(1-설정!$B$5)-O190)</f>
        <v/>
      </c>
      <c r="AC190" s="18">
        <f>IF(OR(T190="",O190=""),"",(T190+설정!$B$10)*(1-설정!$B$6)-O190)</f>
        <v/>
      </c>
      <c r="AD190" s="14">
        <f>IF(B190="","",IF(OR(O190="",T190=""),"가격 입력 필요",IF(Z190&lt;=0,"❌ 제외",IF(AND(P190="도매꾹",N190&gt;1),"⚠️ 최소수량 확인",IF(AND(AA190&gt;=설정!$B$8,Z190&gt;=설정!$B$9),"✅ 판매추천",IF(Z190&gt;0,"⚠️ 마진부족","❌ 제외"))))))</f>
        <v/>
      </c>
      <c r="AE190" s="15" t="n"/>
    </row>
    <row r="191">
      <c r="A191" s="14" t="n">
        <v>187</v>
      </c>
      <c r="B191" s="15" t="n"/>
      <c r="C191" s="15" t="n"/>
      <c r="D191" s="16" t="n"/>
      <c r="E191" s="17" t="n"/>
      <c r="F191" s="17" t="n"/>
      <c r="G191" s="18">
        <f>IF(E191="","",E191+F191)</f>
        <v/>
      </c>
      <c r="H191" s="17" t="n"/>
      <c r="I191" s="17" t="n"/>
      <c r="J191" s="18">
        <f>IF(H191="","",H191+I191)</f>
        <v/>
      </c>
      <c r="K191" s="17" t="n"/>
      <c r="L191" s="17" t="n"/>
      <c r="M191" s="18">
        <f>IF(K191="","",K191+L191)</f>
        <v/>
      </c>
      <c r="N191" s="16" t="n"/>
      <c r="O191" s="18">
        <f>IF(COUNT(G191,J191,M191)=0,"",MIN(G191,J191,M191))</f>
        <v/>
      </c>
      <c r="P191" s="14">
        <f>IF(O191="","",IF(O191=G191,"스페셜오퍼",IF(O191=J191,"도매매","도매꾹")))</f>
        <v/>
      </c>
      <c r="Q191" s="18">
        <f>IF(COUNT(G191,J191,M191)&lt;2,"",MAX(G191,J191,M191)-MIN(G191,J191,M191))</f>
        <v/>
      </c>
      <c r="R191" s="17" t="n"/>
      <c r="S191" s="17" t="n"/>
      <c r="T191" s="18">
        <f>IF(COUNT(R191,S191)=0,"",MIN(R191,S191))</f>
        <v/>
      </c>
      <c r="U191" s="19">
        <f>IF(OR(O191="",T191=""),"",O191/T191)</f>
        <v/>
      </c>
      <c r="V191" s="18">
        <f>IF(T191="","",ROUNDDOWN(T191*(1-설정!$B$3),-2))</f>
        <v/>
      </c>
      <c r="W191" s="17" t="n"/>
      <c r="X191" s="18">
        <f>IF(W191&lt;&gt;"",W191,V191)</f>
        <v/>
      </c>
      <c r="Y191" s="18">
        <f>IF(X191="","",X191*설정!$B$4)</f>
        <v/>
      </c>
      <c r="Z191" s="18">
        <f>IF(OR(X191="",O191=""),"",X191-Y191-O191-설정!$B$7)</f>
        <v/>
      </c>
      <c r="AA191" s="19">
        <f>IF(OR(Z191="",X191=0),"",Z191/X191)</f>
        <v/>
      </c>
      <c r="AB191" s="18">
        <f>IF(OR(T191="",O191=""),"",(T191+설정!$B$10)*(1-설정!$B$5)-O191)</f>
        <v/>
      </c>
      <c r="AC191" s="18">
        <f>IF(OR(T191="",O191=""),"",(T191+설정!$B$10)*(1-설정!$B$6)-O191)</f>
        <v/>
      </c>
      <c r="AD191" s="14">
        <f>IF(B191="","",IF(OR(O191="",T191=""),"가격 입력 필요",IF(Z191&lt;=0,"❌ 제외",IF(AND(P191="도매꾹",N191&gt;1),"⚠️ 최소수량 확인",IF(AND(AA191&gt;=설정!$B$8,Z191&gt;=설정!$B$9),"✅ 판매추천",IF(Z191&gt;0,"⚠️ 마진부족","❌ 제외"))))))</f>
        <v/>
      </c>
      <c r="AE191" s="15" t="n"/>
    </row>
    <row r="192">
      <c r="A192" s="14" t="n">
        <v>188</v>
      </c>
      <c r="B192" s="15" t="n"/>
      <c r="C192" s="15" t="n"/>
      <c r="D192" s="16" t="n"/>
      <c r="E192" s="17" t="n"/>
      <c r="F192" s="17" t="n"/>
      <c r="G192" s="18">
        <f>IF(E192="","",E192+F192)</f>
        <v/>
      </c>
      <c r="H192" s="17" t="n"/>
      <c r="I192" s="17" t="n"/>
      <c r="J192" s="18">
        <f>IF(H192="","",H192+I192)</f>
        <v/>
      </c>
      <c r="K192" s="17" t="n"/>
      <c r="L192" s="17" t="n"/>
      <c r="M192" s="18">
        <f>IF(K192="","",K192+L192)</f>
        <v/>
      </c>
      <c r="N192" s="16" t="n"/>
      <c r="O192" s="18">
        <f>IF(COUNT(G192,J192,M192)=0,"",MIN(G192,J192,M192))</f>
        <v/>
      </c>
      <c r="P192" s="14">
        <f>IF(O192="","",IF(O192=G192,"스페셜오퍼",IF(O192=J192,"도매매","도매꾹")))</f>
        <v/>
      </c>
      <c r="Q192" s="18">
        <f>IF(COUNT(G192,J192,M192)&lt;2,"",MAX(G192,J192,M192)-MIN(G192,J192,M192))</f>
        <v/>
      </c>
      <c r="R192" s="17" t="n"/>
      <c r="S192" s="17" t="n"/>
      <c r="T192" s="18">
        <f>IF(COUNT(R192,S192)=0,"",MIN(R192,S192))</f>
        <v/>
      </c>
      <c r="U192" s="19">
        <f>IF(OR(O192="",T192=""),"",O192/T192)</f>
        <v/>
      </c>
      <c r="V192" s="18">
        <f>IF(T192="","",ROUNDDOWN(T192*(1-설정!$B$3),-2))</f>
        <v/>
      </c>
      <c r="W192" s="17" t="n"/>
      <c r="X192" s="18">
        <f>IF(W192&lt;&gt;"",W192,V192)</f>
        <v/>
      </c>
      <c r="Y192" s="18">
        <f>IF(X192="","",X192*설정!$B$4)</f>
        <v/>
      </c>
      <c r="Z192" s="18">
        <f>IF(OR(X192="",O192=""),"",X192-Y192-O192-설정!$B$7)</f>
        <v/>
      </c>
      <c r="AA192" s="19">
        <f>IF(OR(Z192="",X192=0),"",Z192/X192)</f>
        <v/>
      </c>
      <c r="AB192" s="18">
        <f>IF(OR(T192="",O192=""),"",(T192+설정!$B$10)*(1-설정!$B$5)-O192)</f>
        <v/>
      </c>
      <c r="AC192" s="18">
        <f>IF(OR(T192="",O192=""),"",(T192+설정!$B$10)*(1-설정!$B$6)-O192)</f>
        <v/>
      </c>
      <c r="AD192" s="14">
        <f>IF(B192="","",IF(OR(O192="",T192=""),"가격 입력 필요",IF(Z192&lt;=0,"❌ 제외",IF(AND(P192="도매꾹",N192&gt;1),"⚠️ 최소수량 확인",IF(AND(AA192&gt;=설정!$B$8,Z192&gt;=설정!$B$9),"✅ 판매추천",IF(Z192&gt;0,"⚠️ 마진부족","❌ 제외"))))))</f>
        <v/>
      </c>
      <c r="AE192" s="15" t="n"/>
    </row>
    <row r="193">
      <c r="A193" s="14" t="n">
        <v>189</v>
      </c>
      <c r="B193" s="15" t="n"/>
      <c r="C193" s="15" t="n"/>
      <c r="D193" s="16" t="n"/>
      <c r="E193" s="17" t="n"/>
      <c r="F193" s="17" t="n"/>
      <c r="G193" s="18">
        <f>IF(E193="","",E193+F193)</f>
        <v/>
      </c>
      <c r="H193" s="17" t="n"/>
      <c r="I193" s="17" t="n"/>
      <c r="J193" s="18">
        <f>IF(H193="","",H193+I193)</f>
        <v/>
      </c>
      <c r="K193" s="17" t="n"/>
      <c r="L193" s="17" t="n"/>
      <c r="M193" s="18">
        <f>IF(K193="","",K193+L193)</f>
        <v/>
      </c>
      <c r="N193" s="16" t="n"/>
      <c r="O193" s="18">
        <f>IF(COUNT(G193,J193,M193)=0,"",MIN(G193,J193,M193))</f>
        <v/>
      </c>
      <c r="P193" s="14">
        <f>IF(O193="","",IF(O193=G193,"스페셜오퍼",IF(O193=J193,"도매매","도매꾹")))</f>
        <v/>
      </c>
      <c r="Q193" s="18">
        <f>IF(COUNT(G193,J193,M193)&lt;2,"",MAX(G193,J193,M193)-MIN(G193,J193,M193))</f>
        <v/>
      </c>
      <c r="R193" s="17" t="n"/>
      <c r="S193" s="17" t="n"/>
      <c r="T193" s="18">
        <f>IF(COUNT(R193,S193)=0,"",MIN(R193,S193))</f>
        <v/>
      </c>
      <c r="U193" s="19">
        <f>IF(OR(O193="",T193=""),"",O193/T193)</f>
        <v/>
      </c>
      <c r="V193" s="18">
        <f>IF(T193="","",ROUNDDOWN(T193*(1-설정!$B$3),-2))</f>
        <v/>
      </c>
      <c r="W193" s="17" t="n"/>
      <c r="X193" s="18">
        <f>IF(W193&lt;&gt;"",W193,V193)</f>
        <v/>
      </c>
      <c r="Y193" s="18">
        <f>IF(X193="","",X193*설정!$B$4)</f>
        <v/>
      </c>
      <c r="Z193" s="18">
        <f>IF(OR(X193="",O193=""),"",X193-Y193-O193-설정!$B$7)</f>
        <v/>
      </c>
      <c r="AA193" s="19">
        <f>IF(OR(Z193="",X193=0),"",Z193/X193)</f>
        <v/>
      </c>
      <c r="AB193" s="18">
        <f>IF(OR(T193="",O193=""),"",(T193+설정!$B$10)*(1-설정!$B$5)-O193)</f>
        <v/>
      </c>
      <c r="AC193" s="18">
        <f>IF(OR(T193="",O193=""),"",(T193+설정!$B$10)*(1-설정!$B$6)-O193)</f>
        <v/>
      </c>
      <c r="AD193" s="14">
        <f>IF(B193="","",IF(OR(O193="",T193=""),"가격 입력 필요",IF(Z193&lt;=0,"❌ 제외",IF(AND(P193="도매꾹",N193&gt;1),"⚠️ 최소수량 확인",IF(AND(AA193&gt;=설정!$B$8,Z193&gt;=설정!$B$9),"✅ 판매추천",IF(Z193&gt;0,"⚠️ 마진부족","❌ 제외"))))))</f>
        <v/>
      </c>
      <c r="AE193" s="15" t="n"/>
    </row>
    <row r="194">
      <c r="A194" s="14" t="n">
        <v>190</v>
      </c>
      <c r="B194" s="15" t="n"/>
      <c r="C194" s="15" t="n"/>
      <c r="D194" s="16" t="n"/>
      <c r="E194" s="17" t="n"/>
      <c r="F194" s="17" t="n"/>
      <c r="G194" s="18">
        <f>IF(E194="","",E194+F194)</f>
        <v/>
      </c>
      <c r="H194" s="17" t="n"/>
      <c r="I194" s="17" t="n"/>
      <c r="J194" s="18">
        <f>IF(H194="","",H194+I194)</f>
        <v/>
      </c>
      <c r="K194" s="17" t="n"/>
      <c r="L194" s="17" t="n"/>
      <c r="M194" s="18">
        <f>IF(K194="","",K194+L194)</f>
        <v/>
      </c>
      <c r="N194" s="16" t="n"/>
      <c r="O194" s="18">
        <f>IF(COUNT(G194,J194,M194)=0,"",MIN(G194,J194,M194))</f>
        <v/>
      </c>
      <c r="P194" s="14">
        <f>IF(O194="","",IF(O194=G194,"스페셜오퍼",IF(O194=J194,"도매매","도매꾹")))</f>
        <v/>
      </c>
      <c r="Q194" s="18">
        <f>IF(COUNT(G194,J194,M194)&lt;2,"",MAX(G194,J194,M194)-MIN(G194,J194,M194))</f>
        <v/>
      </c>
      <c r="R194" s="17" t="n"/>
      <c r="S194" s="17" t="n"/>
      <c r="T194" s="18">
        <f>IF(COUNT(R194,S194)=0,"",MIN(R194,S194))</f>
        <v/>
      </c>
      <c r="U194" s="19">
        <f>IF(OR(O194="",T194=""),"",O194/T194)</f>
        <v/>
      </c>
      <c r="V194" s="18">
        <f>IF(T194="","",ROUNDDOWN(T194*(1-설정!$B$3),-2))</f>
        <v/>
      </c>
      <c r="W194" s="17" t="n"/>
      <c r="X194" s="18">
        <f>IF(W194&lt;&gt;"",W194,V194)</f>
        <v/>
      </c>
      <c r="Y194" s="18">
        <f>IF(X194="","",X194*설정!$B$4)</f>
        <v/>
      </c>
      <c r="Z194" s="18">
        <f>IF(OR(X194="",O194=""),"",X194-Y194-O194-설정!$B$7)</f>
        <v/>
      </c>
      <c r="AA194" s="19">
        <f>IF(OR(Z194="",X194=0),"",Z194/X194)</f>
        <v/>
      </c>
      <c r="AB194" s="18">
        <f>IF(OR(T194="",O194=""),"",(T194+설정!$B$10)*(1-설정!$B$5)-O194)</f>
        <v/>
      </c>
      <c r="AC194" s="18">
        <f>IF(OR(T194="",O194=""),"",(T194+설정!$B$10)*(1-설정!$B$6)-O194)</f>
        <v/>
      </c>
      <c r="AD194" s="14">
        <f>IF(B194="","",IF(OR(O194="",T194=""),"가격 입력 필요",IF(Z194&lt;=0,"❌ 제외",IF(AND(P194="도매꾹",N194&gt;1),"⚠️ 최소수량 확인",IF(AND(AA194&gt;=설정!$B$8,Z194&gt;=설정!$B$9),"✅ 판매추천",IF(Z194&gt;0,"⚠️ 마진부족","❌ 제외"))))))</f>
        <v/>
      </c>
      <c r="AE194" s="15" t="n"/>
    </row>
    <row r="195">
      <c r="A195" s="14" t="n">
        <v>191</v>
      </c>
      <c r="B195" s="15" t="n"/>
      <c r="C195" s="15" t="n"/>
      <c r="D195" s="16" t="n"/>
      <c r="E195" s="17" t="n"/>
      <c r="F195" s="17" t="n"/>
      <c r="G195" s="18">
        <f>IF(E195="","",E195+F195)</f>
        <v/>
      </c>
      <c r="H195" s="17" t="n"/>
      <c r="I195" s="17" t="n"/>
      <c r="J195" s="18">
        <f>IF(H195="","",H195+I195)</f>
        <v/>
      </c>
      <c r="K195" s="17" t="n"/>
      <c r="L195" s="17" t="n"/>
      <c r="M195" s="18">
        <f>IF(K195="","",K195+L195)</f>
        <v/>
      </c>
      <c r="N195" s="16" t="n"/>
      <c r="O195" s="18">
        <f>IF(COUNT(G195,J195,M195)=0,"",MIN(G195,J195,M195))</f>
        <v/>
      </c>
      <c r="P195" s="14">
        <f>IF(O195="","",IF(O195=G195,"스페셜오퍼",IF(O195=J195,"도매매","도매꾹")))</f>
        <v/>
      </c>
      <c r="Q195" s="18">
        <f>IF(COUNT(G195,J195,M195)&lt;2,"",MAX(G195,J195,M195)-MIN(G195,J195,M195))</f>
        <v/>
      </c>
      <c r="R195" s="17" t="n"/>
      <c r="S195" s="17" t="n"/>
      <c r="T195" s="18">
        <f>IF(COUNT(R195,S195)=0,"",MIN(R195,S195))</f>
        <v/>
      </c>
      <c r="U195" s="19">
        <f>IF(OR(O195="",T195=""),"",O195/T195)</f>
        <v/>
      </c>
      <c r="V195" s="18">
        <f>IF(T195="","",ROUNDDOWN(T195*(1-설정!$B$3),-2))</f>
        <v/>
      </c>
      <c r="W195" s="17" t="n"/>
      <c r="X195" s="18">
        <f>IF(W195&lt;&gt;"",W195,V195)</f>
        <v/>
      </c>
      <c r="Y195" s="18">
        <f>IF(X195="","",X195*설정!$B$4)</f>
        <v/>
      </c>
      <c r="Z195" s="18">
        <f>IF(OR(X195="",O195=""),"",X195-Y195-O195-설정!$B$7)</f>
        <v/>
      </c>
      <c r="AA195" s="19">
        <f>IF(OR(Z195="",X195=0),"",Z195/X195)</f>
        <v/>
      </c>
      <c r="AB195" s="18">
        <f>IF(OR(T195="",O195=""),"",(T195+설정!$B$10)*(1-설정!$B$5)-O195)</f>
        <v/>
      </c>
      <c r="AC195" s="18">
        <f>IF(OR(T195="",O195=""),"",(T195+설정!$B$10)*(1-설정!$B$6)-O195)</f>
        <v/>
      </c>
      <c r="AD195" s="14">
        <f>IF(B195="","",IF(OR(O195="",T195=""),"가격 입력 필요",IF(Z195&lt;=0,"❌ 제외",IF(AND(P195="도매꾹",N195&gt;1),"⚠️ 최소수량 확인",IF(AND(AA195&gt;=설정!$B$8,Z195&gt;=설정!$B$9),"✅ 판매추천",IF(Z195&gt;0,"⚠️ 마진부족","❌ 제외"))))))</f>
        <v/>
      </c>
      <c r="AE195" s="15" t="n"/>
    </row>
    <row r="196">
      <c r="A196" s="14" t="n">
        <v>192</v>
      </c>
      <c r="B196" s="15" t="n"/>
      <c r="C196" s="15" t="n"/>
      <c r="D196" s="16" t="n"/>
      <c r="E196" s="17" t="n"/>
      <c r="F196" s="17" t="n"/>
      <c r="G196" s="18">
        <f>IF(E196="","",E196+F196)</f>
        <v/>
      </c>
      <c r="H196" s="17" t="n"/>
      <c r="I196" s="17" t="n"/>
      <c r="J196" s="18">
        <f>IF(H196="","",H196+I196)</f>
        <v/>
      </c>
      <c r="K196" s="17" t="n"/>
      <c r="L196" s="17" t="n"/>
      <c r="M196" s="18">
        <f>IF(K196="","",K196+L196)</f>
        <v/>
      </c>
      <c r="N196" s="16" t="n"/>
      <c r="O196" s="18">
        <f>IF(COUNT(G196,J196,M196)=0,"",MIN(G196,J196,M196))</f>
        <v/>
      </c>
      <c r="P196" s="14">
        <f>IF(O196="","",IF(O196=G196,"스페셜오퍼",IF(O196=J196,"도매매","도매꾹")))</f>
        <v/>
      </c>
      <c r="Q196" s="18">
        <f>IF(COUNT(G196,J196,M196)&lt;2,"",MAX(G196,J196,M196)-MIN(G196,J196,M196))</f>
        <v/>
      </c>
      <c r="R196" s="17" t="n"/>
      <c r="S196" s="17" t="n"/>
      <c r="T196" s="18">
        <f>IF(COUNT(R196,S196)=0,"",MIN(R196,S196))</f>
        <v/>
      </c>
      <c r="U196" s="19">
        <f>IF(OR(O196="",T196=""),"",O196/T196)</f>
        <v/>
      </c>
      <c r="V196" s="18">
        <f>IF(T196="","",ROUNDDOWN(T196*(1-설정!$B$3),-2))</f>
        <v/>
      </c>
      <c r="W196" s="17" t="n"/>
      <c r="X196" s="18">
        <f>IF(W196&lt;&gt;"",W196,V196)</f>
        <v/>
      </c>
      <c r="Y196" s="18">
        <f>IF(X196="","",X196*설정!$B$4)</f>
        <v/>
      </c>
      <c r="Z196" s="18">
        <f>IF(OR(X196="",O196=""),"",X196-Y196-O196-설정!$B$7)</f>
        <v/>
      </c>
      <c r="AA196" s="19">
        <f>IF(OR(Z196="",X196=0),"",Z196/X196)</f>
        <v/>
      </c>
      <c r="AB196" s="18">
        <f>IF(OR(T196="",O196=""),"",(T196+설정!$B$10)*(1-설정!$B$5)-O196)</f>
        <v/>
      </c>
      <c r="AC196" s="18">
        <f>IF(OR(T196="",O196=""),"",(T196+설정!$B$10)*(1-설정!$B$6)-O196)</f>
        <v/>
      </c>
      <c r="AD196" s="14">
        <f>IF(B196="","",IF(OR(O196="",T196=""),"가격 입력 필요",IF(Z196&lt;=0,"❌ 제외",IF(AND(P196="도매꾹",N196&gt;1),"⚠️ 최소수량 확인",IF(AND(AA196&gt;=설정!$B$8,Z196&gt;=설정!$B$9),"✅ 판매추천",IF(Z196&gt;0,"⚠️ 마진부족","❌ 제외"))))))</f>
        <v/>
      </c>
      <c r="AE196" s="15" t="n"/>
    </row>
    <row r="197">
      <c r="A197" s="14" t="n">
        <v>193</v>
      </c>
      <c r="B197" s="15" t="n"/>
      <c r="C197" s="15" t="n"/>
      <c r="D197" s="16" t="n"/>
      <c r="E197" s="17" t="n"/>
      <c r="F197" s="17" t="n"/>
      <c r="G197" s="18">
        <f>IF(E197="","",E197+F197)</f>
        <v/>
      </c>
      <c r="H197" s="17" t="n"/>
      <c r="I197" s="17" t="n"/>
      <c r="J197" s="18">
        <f>IF(H197="","",H197+I197)</f>
        <v/>
      </c>
      <c r="K197" s="17" t="n"/>
      <c r="L197" s="17" t="n"/>
      <c r="M197" s="18">
        <f>IF(K197="","",K197+L197)</f>
        <v/>
      </c>
      <c r="N197" s="16" t="n"/>
      <c r="O197" s="18">
        <f>IF(COUNT(G197,J197,M197)=0,"",MIN(G197,J197,M197))</f>
        <v/>
      </c>
      <c r="P197" s="14">
        <f>IF(O197="","",IF(O197=G197,"스페셜오퍼",IF(O197=J197,"도매매","도매꾹")))</f>
        <v/>
      </c>
      <c r="Q197" s="18">
        <f>IF(COUNT(G197,J197,M197)&lt;2,"",MAX(G197,J197,M197)-MIN(G197,J197,M197))</f>
        <v/>
      </c>
      <c r="R197" s="17" t="n"/>
      <c r="S197" s="17" t="n"/>
      <c r="T197" s="18">
        <f>IF(COUNT(R197,S197)=0,"",MIN(R197,S197))</f>
        <v/>
      </c>
      <c r="U197" s="19">
        <f>IF(OR(O197="",T197=""),"",O197/T197)</f>
        <v/>
      </c>
      <c r="V197" s="18">
        <f>IF(T197="","",ROUNDDOWN(T197*(1-설정!$B$3),-2))</f>
        <v/>
      </c>
      <c r="W197" s="17" t="n"/>
      <c r="X197" s="18">
        <f>IF(W197&lt;&gt;"",W197,V197)</f>
        <v/>
      </c>
      <c r="Y197" s="18">
        <f>IF(X197="","",X197*설정!$B$4)</f>
        <v/>
      </c>
      <c r="Z197" s="18">
        <f>IF(OR(X197="",O197=""),"",X197-Y197-O197-설정!$B$7)</f>
        <v/>
      </c>
      <c r="AA197" s="19">
        <f>IF(OR(Z197="",X197=0),"",Z197/X197)</f>
        <v/>
      </c>
      <c r="AB197" s="18">
        <f>IF(OR(T197="",O197=""),"",(T197+설정!$B$10)*(1-설정!$B$5)-O197)</f>
        <v/>
      </c>
      <c r="AC197" s="18">
        <f>IF(OR(T197="",O197=""),"",(T197+설정!$B$10)*(1-설정!$B$6)-O197)</f>
        <v/>
      </c>
      <c r="AD197" s="14">
        <f>IF(B197="","",IF(OR(O197="",T197=""),"가격 입력 필요",IF(Z197&lt;=0,"❌ 제외",IF(AND(P197="도매꾹",N197&gt;1),"⚠️ 최소수량 확인",IF(AND(AA197&gt;=설정!$B$8,Z197&gt;=설정!$B$9),"✅ 판매추천",IF(Z197&gt;0,"⚠️ 마진부족","❌ 제외"))))))</f>
        <v/>
      </c>
      <c r="AE197" s="15" t="n"/>
    </row>
    <row r="198">
      <c r="A198" s="14" t="n">
        <v>194</v>
      </c>
      <c r="B198" s="15" t="n"/>
      <c r="C198" s="15" t="n"/>
      <c r="D198" s="16" t="n"/>
      <c r="E198" s="17" t="n"/>
      <c r="F198" s="17" t="n"/>
      <c r="G198" s="18">
        <f>IF(E198="","",E198+F198)</f>
        <v/>
      </c>
      <c r="H198" s="17" t="n"/>
      <c r="I198" s="17" t="n"/>
      <c r="J198" s="18">
        <f>IF(H198="","",H198+I198)</f>
        <v/>
      </c>
      <c r="K198" s="17" t="n"/>
      <c r="L198" s="17" t="n"/>
      <c r="M198" s="18">
        <f>IF(K198="","",K198+L198)</f>
        <v/>
      </c>
      <c r="N198" s="16" t="n"/>
      <c r="O198" s="18">
        <f>IF(COUNT(G198,J198,M198)=0,"",MIN(G198,J198,M198))</f>
        <v/>
      </c>
      <c r="P198" s="14">
        <f>IF(O198="","",IF(O198=G198,"스페셜오퍼",IF(O198=J198,"도매매","도매꾹")))</f>
        <v/>
      </c>
      <c r="Q198" s="18">
        <f>IF(COUNT(G198,J198,M198)&lt;2,"",MAX(G198,J198,M198)-MIN(G198,J198,M198))</f>
        <v/>
      </c>
      <c r="R198" s="17" t="n"/>
      <c r="S198" s="17" t="n"/>
      <c r="T198" s="18">
        <f>IF(COUNT(R198,S198)=0,"",MIN(R198,S198))</f>
        <v/>
      </c>
      <c r="U198" s="19">
        <f>IF(OR(O198="",T198=""),"",O198/T198)</f>
        <v/>
      </c>
      <c r="V198" s="18">
        <f>IF(T198="","",ROUNDDOWN(T198*(1-설정!$B$3),-2))</f>
        <v/>
      </c>
      <c r="W198" s="17" t="n"/>
      <c r="X198" s="18">
        <f>IF(W198&lt;&gt;"",W198,V198)</f>
        <v/>
      </c>
      <c r="Y198" s="18">
        <f>IF(X198="","",X198*설정!$B$4)</f>
        <v/>
      </c>
      <c r="Z198" s="18">
        <f>IF(OR(X198="",O198=""),"",X198-Y198-O198-설정!$B$7)</f>
        <v/>
      </c>
      <c r="AA198" s="19">
        <f>IF(OR(Z198="",X198=0),"",Z198/X198)</f>
        <v/>
      </c>
      <c r="AB198" s="18">
        <f>IF(OR(T198="",O198=""),"",(T198+설정!$B$10)*(1-설정!$B$5)-O198)</f>
        <v/>
      </c>
      <c r="AC198" s="18">
        <f>IF(OR(T198="",O198=""),"",(T198+설정!$B$10)*(1-설정!$B$6)-O198)</f>
        <v/>
      </c>
      <c r="AD198" s="14">
        <f>IF(B198="","",IF(OR(O198="",T198=""),"가격 입력 필요",IF(Z198&lt;=0,"❌ 제외",IF(AND(P198="도매꾹",N198&gt;1),"⚠️ 최소수량 확인",IF(AND(AA198&gt;=설정!$B$8,Z198&gt;=설정!$B$9),"✅ 판매추천",IF(Z198&gt;0,"⚠️ 마진부족","❌ 제외"))))))</f>
        <v/>
      </c>
      <c r="AE198" s="15" t="n"/>
    </row>
    <row r="199">
      <c r="A199" s="14" t="n">
        <v>195</v>
      </c>
      <c r="B199" s="15" t="n"/>
      <c r="C199" s="15" t="n"/>
      <c r="D199" s="16" t="n"/>
      <c r="E199" s="17" t="n"/>
      <c r="F199" s="17" t="n"/>
      <c r="G199" s="18">
        <f>IF(E199="","",E199+F199)</f>
        <v/>
      </c>
      <c r="H199" s="17" t="n"/>
      <c r="I199" s="17" t="n"/>
      <c r="J199" s="18">
        <f>IF(H199="","",H199+I199)</f>
        <v/>
      </c>
      <c r="K199" s="17" t="n"/>
      <c r="L199" s="17" t="n"/>
      <c r="M199" s="18">
        <f>IF(K199="","",K199+L199)</f>
        <v/>
      </c>
      <c r="N199" s="16" t="n"/>
      <c r="O199" s="18">
        <f>IF(COUNT(G199,J199,M199)=0,"",MIN(G199,J199,M199))</f>
        <v/>
      </c>
      <c r="P199" s="14">
        <f>IF(O199="","",IF(O199=G199,"스페셜오퍼",IF(O199=J199,"도매매","도매꾹")))</f>
        <v/>
      </c>
      <c r="Q199" s="18">
        <f>IF(COUNT(G199,J199,M199)&lt;2,"",MAX(G199,J199,M199)-MIN(G199,J199,M199))</f>
        <v/>
      </c>
      <c r="R199" s="17" t="n"/>
      <c r="S199" s="17" t="n"/>
      <c r="T199" s="18">
        <f>IF(COUNT(R199,S199)=0,"",MIN(R199,S199))</f>
        <v/>
      </c>
      <c r="U199" s="19">
        <f>IF(OR(O199="",T199=""),"",O199/T199)</f>
        <v/>
      </c>
      <c r="V199" s="18">
        <f>IF(T199="","",ROUNDDOWN(T199*(1-설정!$B$3),-2))</f>
        <v/>
      </c>
      <c r="W199" s="17" t="n"/>
      <c r="X199" s="18">
        <f>IF(W199&lt;&gt;"",W199,V199)</f>
        <v/>
      </c>
      <c r="Y199" s="18">
        <f>IF(X199="","",X199*설정!$B$4)</f>
        <v/>
      </c>
      <c r="Z199" s="18">
        <f>IF(OR(X199="",O199=""),"",X199-Y199-O199-설정!$B$7)</f>
        <v/>
      </c>
      <c r="AA199" s="19">
        <f>IF(OR(Z199="",X199=0),"",Z199/X199)</f>
        <v/>
      </c>
      <c r="AB199" s="18">
        <f>IF(OR(T199="",O199=""),"",(T199+설정!$B$10)*(1-설정!$B$5)-O199)</f>
        <v/>
      </c>
      <c r="AC199" s="18">
        <f>IF(OR(T199="",O199=""),"",(T199+설정!$B$10)*(1-설정!$B$6)-O199)</f>
        <v/>
      </c>
      <c r="AD199" s="14">
        <f>IF(B199="","",IF(OR(O199="",T199=""),"가격 입력 필요",IF(Z199&lt;=0,"❌ 제외",IF(AND(P199="도매꾹",N199&gt;1),"⚠️ 최소수량 확인",IF(AND(AA199&gt;=설정!$B$8,Z199&gt;=설정!$B$9),"✅ 판매추천",IF(Z199&gt;0,"⚠️ 마진부족","❌ 제외"))))))</f>
        <v/>
      </c>
      <c r="AE199" s="15" t="n"/>
    </row>
    <row r="200">
      <c r="A200" s="14" t="n">
        <v>196</v>
      </c>
      <c r="B200" s="15" t="n"/>
      <c r="C200" s="15" t="n"/>
      <c r="D200" s="16" t="n"/>
      <c r="E200" s="17" t="n"/>
      <c r="F200" s="17" t="n"/>
      <c r="G200" s="18">
        <f>IF(E200="","",E200+F200)</f>
        <v/>
      </c>
      <c r="H200" s="17" t="n"/>
      <c r="I200" s="17" t="n"/>
      <c r="J200" s="18">
        <f>IF(H200="","",H200+I200)</f>
        <v/>
      </c>
      <c r="K200" s="17" t="n"/>
      <c r="L200" s="17" t="n"/>
      <c r="M200" s="18">
        <f>IF(K200="","",K200+L200)</f>
        <v/>
      </c>
      <c r="N200" s="16" t="n"/>
      <c r="O200" s="18">
        <f>IF(COUNT(G200,J200,M200)=0,"",MIN(G200,J200,M200))</f>
        <v/>
      </c>
      <c r="P200" s="14">
        <f>IF(O200="","",IF(O200=G200,"스페셜오퍼",IF(O200=J200,"도매매","도매꾹")))</f>
        <v/>
      </c>
      <c r="Q200" s="18">
        <f>IF(COUNT(G200,J200,M200)&lt;2,"",MAX(G200,J200,M200)-MIN(G200,J200,M200))</f>
        <v/>
      </c>
      <c r="R200" s="17" t="n"/>
      <c r="S200" s="17" t="n"/>
      <c r="T200" s="18">
        <f>IF(COUNT(R200,S200)=0,"",MIN(R200,S200))</f>
        <v/>
      </c>
      <c r="U200" s="19">
        <f>IF(OR(O200="",T200=""),"",O200/T200)</f>
        <v/>
      </c>
      <c r="V200" s="18">
        <f>IF(T200="","",ROUNDDOWN(T200*(1-설정!$B$3),-2))</f>
        <v/>
      </c>
      <c r="W200" s="17" t="n"/>
      <c r="X200" s="18">
        <f>IF(W200&lt;&gt;"",W200,V200)</f>
        <v/>
      </c>
      <c r="Y200" s="18">
        <f>IF(X200="","",X200*설정!$B$4)</f>
        <v/>
      </c>
      <c r="Z200" s="18">
        <f>IF(OR(X200="",O200=""),"",X200-Y200-O200-설정!$B$7)</f>
        <v/>
      </c>
      <c r="AA200" s="19">
        <f>IF(OR(Z200="",X200=0),"",Z200/X200)</f>
        <v/>
      </c>
      <c r="AB200" s="18">
        <f>IF(OR(T200="",O200=""),"",(T200+설정!$B$10)*(1-설정!$B$5)-O200)</f>
        <v/>
      </c>
      <c r="AC200" s="18">
        <f>IF(OR(T200="",O200=""),"",(T200+설정!$B$10)*(1-설정!$B$6)-O200)</f>
        <v/>
      </c>
      <c r="AD200" s="14">
        <f>IF(B200="","",IF(OR(O200="",T200=""),"가격 입력 필요",IF(Z200&lt;=0,"❌ 제외",IF(AND(P200="도매꾹",N200&gt;1),"⚠️ 최소수량 확인",IF(AND(AA200&gt;=설정!$B$8,Z200&gt;=설정!$B$9),"✅ 판매추천",IF(Z200&gt;0,"⚠️ 마진부족","❌ 제외"))))))</f>
        <v/>
      </c>
      <c r="AE200" s="15" t="n"/>
    </row>
    <row r="201">
      <c r="A201" s="14" t="n">
        <v>197</v>
      </c>
      <c r="B201" s="15" t="n"/>
      <c r="C201" s="15" t="n"/>
      <c r="D201" s="16" t="n"/>
      <c r="E201" s="17" t="n"/>
      <c r="F201" s="17" t="n"/>
      <c r="G201" s="18">
        <f>IF(E201="","",E201+F201)</f>
        <v/>
      </c>
      <c r="H201" s="17" t="n"/>
      <c r="I201" s="17" t="n"/>
      <c r="J201" s="18">
        <f>IF(H201="","",H201+I201)</f>
        <v/>
      </c>
      <c r="K201" s="17" t="n"/>
      <c r="L201" s="17" t="n"/>
      <c r="M201" s="18">
        <f>IF(K201="","",K201+L201)</f>
        <v/>
      </c>
      <c r="N201" s="16" t="n"/>
      <c r="O201" s="18">
        <f>IF(COUNT(G201,J201,M201)=0,"",MIN(G201,J201,M201))</f>
        <v/>
      </c>
      <c r="P201" s="14">
        <f>IF(O201="","",IF(O201=G201,"스페셜오퍼",IF(O201=J201,"도매매","도매꾹")))</f>
        <v/>
      </c>
      <c r="Q201" s="18">
        <f>IF(COUNT(G201,J201,M201)&lt;2,"",MAX(G201,J201,M201)-MIN(G201,J201,M201))</f>
        <v/>
      </c>
      <c r="R201" s="17" t="n"/>
      <c r="S201" s="17" t="n"/>
      <c r="T201" s="18">
        <f>IF(COUNT(R201,S201)=0,"",MIN(R201,S201))</f>
        <v/>
      </c>
      <c r="U201" s="19">
        <f>IF(OR(O201="",T201=""),"",O201/T201)</f>
        <v/>
      </c>
      <c r="V201" s="18">
        <f>IF(T201="","",ROUNDDOWN(T201*(1-설정!$B$3),-2))</f>
        <v/>
      </c>
      <c r="W201" s="17" t="n"/>
      <c r="X201" s="18">
        <f>IF(W201&lt;&gt;"",W201,V201)</f>
        <v/>
      </c>
      <c r="Y201" s="18">
        <f>IF(X201="","",X201*설정!$B$4)</f>
        <v/>
      </c>
      <c r="Z201" s="18">
        <f>IF(OR(X201="",O201=""),"",X201-Y201-O201-설정!$B$7)</f>
        <v/>
      </c>
      <c r="AA201" s="19">
        <f>IF(OR(Z201="",X201=0),"",Z201/X201)</f>
        <v/>
      </c>
      <c r="AB201" s="18">
        <f>IF(OR(T201="",O201=""),"",(T201+설정!$B$10)*(1-설정!$B$5)-O201)</f>
        <v/>
      </c>
      <c r="AC201" s="18">
        <f>IF(OR(T201="",O201=""),"",(T201+설정!$B$10)*(1-설정!$B$6)-O201)</f>
        <v/>
      </c>
      <c r="AD201" s="14">
        <f>IF(B201="","",IF(OR(O201="",T201=""),"가격 입력 필요",IF(Z201&lt;=0,"❌ 제외",IF(AND(P201="도매꾹",N201&gt;1),"⚠️ 최소수량 확인",IF(AND(AA201&gt;=설정!$B$8,Z201&gt;=설정!$B$9),"✅ 판매추천",IF(Z201&gt;0,"⚠️ 마진부족","❌ 제외"))))))</f>
        <v/>
      </c>
      <c r="AE201" s="15" t="n"/>
    </row>
    <row r="202">
      <c r="A202" s="14" t="n">
        <v>198</v>
      </c>
      <c r="B202" s="15" t="n"/>
      <c r="C202" s="15" t="n"/>
      <c r="D202" s="16" t="n"/>
      <c r="E202" s="17" t="n"/>
      <c r="F202" s="17" t="n"/>
      <c r="G202" s="18">
        <f>IF(E202="","",E202+F202)</f>
        <v/>
      </c>
      <c r="H202" s="17" t="n"/>
      <c r="I202" s="17" t="n"/>
      <c r="J202" s="18">
        <f>IF(H202="","",H202+I202)</f>
        <v/>
      </c>
      <c r="K202" s="17" t="n"/>
      <c r="L202" s="17" t="n"/>
      <c r="M202" s="18">
        <f>IF(K202="","",K202+L202)</f>
        <v/>
      </c>
      <c r="N202" s="16" t="n"/>
      <c r="O202" s="18">
        <f>IF(COUNT(G202,J202,M202)=0,"",MIN(G202,J202,M202))</f>
        <v/>
      </c>
      <c r="P202" s="14">
        <f>IF(O202="","",IF(O202=G202,"스페셜오퍼",IF(O202=J202,"도매매","도매꾹")))</f>
        <v/>
      </c>
      <c r="Q202" s="18">
        <f>IF(COUNT(G202,J202,M202)&lt;2,"",MAX(G202,J202,M202)-MIN(G202,J202,M202))</f>
        <v/>
      </c>
      <c r="R202" s="17" t="n"/>
      <c r="S202" s="17" t="n"/>
      <c r="T202" s="18">
        <f>IF(COUNT(R202,S202)=0,"",MIN(R202,S202))</f>
        <v/>
      </c>
      <c r="U202" s="19">
        <f>IF(OR(O202="",T202=""),"",O202/T202)</f>
        <v/>
      </c>
      <c r="V202" s="18">
        <f>IF(T202="","",ROUNDDOWN(T202*(1-설정!$B$3),-2))</f>
        <v/>
      </c>
      <c r="W202" s="17" t="n"/>
      <c r="X202" s="18">
        <f>IF(W202&lt;&gt;"",W202,V202)</f>
        <v/>
      </c>
      <c r="Y202" s="18">
        <f>IF(X202="","",X202*설정!$B$4)</f>
        <v/>
      </c>
      <c r="Z202" s="18">
        <f>IF(OR(X202="",O202=""),"",X202-Y202-O202-설정!$B$7)</f>
        <v/>
      </c>
      <c r="AA202" s="19">
        <f>IF(OR(Z202="",X202=0),"",Z202/X202)</f>
        <v/>
      </c>
      <c r="AB202" s="18">
        <f>IF(OR(T202="",O202=""),"",(T202+설정!$B$10)*(1-설정!$B$5)-O202)</f>
        <v/>
      </c>
      <c r="AC202" s="18">
        <f>IF(OR(T202="",O202=""),"",(T202+설정!$B$10)*(1-설정!$B$6)-O202)</f>
        <v/>
      </c>
      <c r="AD202" s="14">
        <f>IF(B202="","",IF(OR(O202="",T202=""),"가격 입력 필요",IF(Z202&lt;=0,"❌ 제외",IF(AND(P202="도매꾹",N202&gt;1),"⚠️ 최소수량 확인",IF(AND(AA202&gt;=설정!$B$8,Z202&gt;=설정!$B$9),"✅ 판매추천",IF(Z202&gt;0,"⚠️ 마진부족","❌ 제외"))))))</f>
        <v/>
      </c>
      <c r="AE202" s="15" t="n"/>
    </row>
    <row r="203">
      <c r="A203" s="14" t="n">
        <v>199</v>
      </c>
      <c r="B203" s="15" t="n"/>
      <c r="C203" s="15" t="n"/>
      <c r="D203" s="16" t="n"/>
      <c r="E203" s="17" t="n"/>
      <c r="F203" s="17" t="n"/>
      <c r="G203" s="18">
        <f>IF(E203="","",E203+F203)</f>
        <v/>
      </c>
      <c r="H203" s="17" t="n"/>
      <c r="I203" s="17" t="n"/>
      <c r="J203" s="18">
        <f>IF(H203="","",H203+I203)</f>
        <v/>
      </c>
      <c r="K203" s="17" t="n"/>
      <c r="L203" s="17" t="n"/>
      <c r="M203" s="18">
        <f>IF(K203="","",K203+L203)</f>
        <v/>
      </c>
      <c r="N203" s="16" t="n"/>
      <c r="O203" s="18">
        <f>IF(COUNT(G203,J203,M203)=0,"",MIN(G203,J203,M203))</f>
        <v/>
      </c>
      <c r="P203" s="14">
        <f>IF(O203="","",IF(O203=G203,"스페셜오퍼",IF(O203=J203,"도매매","도매꾹")))</f>
        <v/>
      </c>
      <c r="Q203" s="18">
        <f>IF(COUNT(G203,J203,M203)&lt;2,"",MAX(G203,J203,M203)-MIN(G203,J203,M203))</f>
        <v/>
      </c>
      <c r="R203" s="17" t="n"/>
      <c r="S203" s="17" t="n"/>
      <c r="T203" s="18">
        <f>IF(COUNT(R203,S203)=0,"",MIN(R203,S203))</f>
        <v/>
      </c>
      <c r="U203" s="19">
        <f>IF(OR(O203="",T203=""),"",O203/T203)</f>
        <v/>
      </c>
      <c r="V203" s="18">
        <f>IF(T203="","",ROUNDDOWN(T203*(1-설정!$B$3),-2))</f>
        <v/>
      </c>
      <c r="W203" s="17" t="n"/>
      <c r="X203" s="18">
        <f>IF(W203&lt;&gt;"",W203,V203)</f>
        <v/>
      </c>
      <c r="Y203" s="18">
        <f>IF(X203="","",X203*설정!$B$4)</f>
        <v/>
      </c>
      <c r="Z203" s="18">
        <f>IF(OR(X203="",O203=""),"",X203-Y203-O203-설정!$B$7)</f>
        <v/>
      </c>
      <c r="AA203" s="19">
        <f>IF(OR(Z203="",X203=0),"",Z203/X203)</f>
        <v/>
      </c>
      <c r="AB203" s="18">
        <f>IF(OR(T203="",O203=""),"",(T203+설정!$B$10)*(1-설정!$B$5)-O203)</f>
        <v/>
      </c>
      <c r="AC203" s="18">
        <f>IF(OR(T203="",O203=""),"",(T203+설정!$B$10)*(1-설정!$B$6)-O203)</f>
        <v/>
      </c>
      <c r="AD203" s="14">
        <f>IF(B203="","",IF(OR(O203="",T203=""),"가격 입력 필요",IF(Z203&lt;=0,"❌ 제외",IF(AND(P203="도매꾹",N203&gt;1),"⚠️ 최소수량 확인",IF(AND(AA203&gt;=설정!$B$8,Z203&gt;=설정!$B$9),"✅ 판매추천",IF(Z203&gt;0,"⚠️ 마진부족","❌ 제외"))))))</f>
        <v/>
      </c>
      <c r="AE203" s="15" t="n"/>
    </row>
    <row r="204">
      <c r="A204" s="14" t="n">
        <v>200</v>
      </c>
      <c r="B204" s="15" t="n"/>
      <c r="C204" s="15" t="n"/>
      <c r="D204" s="16" t="n"/>
      <c r="E204" s="17" t="n"/>
      <c r="F204" s="17" t="n"/>
      <c r="G204" s="18">
        <f>IF(E204="","",E204+F204)</f>
        <v/>
      </c>
      <c r="H204" s="17" t="n"/>
      <c r="I204" s="17" t="n"/>
      <c r="J204" s="18">
        <f>IF(H204="","",H204+I204)</f>
        <v/>
      </c>
      <c r="K204" s="17" t="n"/>
      <c r="L204" s="17" t="n"/>
      <c r="M204" s="18">
        <f>IF(K204="","",K204+L204)</f>
        <v/>
      </c>
      <c r="N204" s="16" t="n"/>
      <c r="O204" s="18">
        <f>IF(COUNT(G204,J204,M204)=0,"",MIN(G204,J204,M204))</f>
        <v/>
      </c>
      <c r="P204" s="14">
        <f>IF(O204="","",IF(O204=G204,"스페셜오퍼",IF(O204=J204,"도매매","도매꾹")))</f>
        <v/>
      </c>
      <c r="Q204" s="18">
        <f>IF(COUNT(G204,J204,M204)&lt;2,"",MAX(G204,J204,M204)-MIN(G204,J204,M204))</f>
        <v/>
      </c>
      <c r="R204" s="17" t="n"/>
      <c r="S204" s="17" t="n"/>
      <c r="T204" s="18">
        <f>IF(COUNT(R204,S204)=0,"",MIN(R204,S204))</f>
        <v/>
      </c>
      <c r="U204" s="19">
        <f>IF(OR(O204="",T204=""),"",O204/T204)</f>
        <v/>
      </c>
      <c r="V204" s="18">
        <f>IF(T204="","",ROUNDDOWN(T204*(1-설정!$B$3),-2))</f>
        <v/>
      </c>
      <c r="W204" s="17" t="n"/>
      <c r="X204" s="18">
        <f>IF(W204&lt;&gt;"",W204,V204)</f>
        <v/>
      </c>
      <c r="Y204" s="18">
        <f>IF(X204="","",X204*설정!$B$4)</f>
        <v/>
      </c>
      <c r="Z204" s="18">
        <f>IF(OR(X204="",O204=""),"",X204-Y204-O204-설정!$B$7)</f>
        <v/>
      </c>
      <c r="AA204" s="19">
        <f>IF(OR(Z204="",X204=0),"",Z204/X204)</f>
        <v/>
      </c>
      <c r="AB204" s="18">
        <f>IF(OR(T204="",O204=""),"",(T204+설정!$B$10)*(1-설정!$B$5)-O204)</f>
        <v/>
      </c>
      <c r="AC204" s="18">
        <f>IF(OR(T204="",O204=""),"",(T204+설정!$B$10)*(1-설정!$B$6)-O204)</f>
        <v/>
      </c>
      <c r="AD204" s="14">
        <f>IF(B204="","",IF(OR(O204="",T204=""),"가격 입력 필요",IF(Z204&lt;=0,"❌ 제외",IF(AND(P204="도매꾹",N204&gt;1),"⚠️ 최소수량 확인",IF(AND(AA204&gt;=설정!$B$8,Z204&gt;=설정!$B$9),"✅ 판매추천",IF(Z204&gt;0,"⚠️ 마진부족","❌ 제외"))))))</f>
        <v/>
      </c>
      <c r="AE204" s="15" t="n"/>
    </row>
  </sheetData>
  <autoFilter ref="A4:AE204"/>
  <mergeCells count="9">
    <mergeCell ref="R3:U3"/>
    <mergeCell ref="AD3:AE3"/>
    <mergeCell ref="K3:N3"/>
    <mergeCell ref="A3:D3"/>
    <mergeCell ref="V3:AA3"/>
    <mergeCell ref="E3:G3"/>
    <mergeCell ref="H3:J3"/>
    <mergeCell ref="O3:Q3"/>
    <mergeCell ref="AB3:AC3"/>
  </mergeCells>
  <conditionalFormatting sqref="AD5:AD204">
    <cfRule type="expression" priority="1" dxfId="0">
      <formula>LEFT(AD5,1)="✅"</formula>
    </cfRule>
    <cfRule type="expression" priority="2" dxfId="1">
      <formula>LEFT(AD5,1)="⚠"</formula>
    </cfRule>
    <cfRule type="expression" priority="3" dxfId="2">
      <formula>LEFT(AD5,1)="❌"</formula>
    </cfRule>
  </conditionalFormatting>
  <conditionalFormatting sqref="N5:N204">
    <cfRule type="expression" priority="4" dxfId="3">
      <formula>AND(N5&lt;&gt;"",N5&gt;1)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95" customWidth="1" min="3" max="3"/>
  </cols>
  <sheetData>
    <row r="1">
      <c r="A1" s="3" t="inlineStr">
        <is>
          <t>기준값 설정 (노란 칸만 수정)</t>
        </is>
      </c>
    </row>
    <row r="3">
      <c r="A3" s="2" t="inlineStr">
        <is>
          <t>당근 판매가 할인율 (시장 최저가 대비)</t>
        </is>
      </c>
      <c r="B3" s="20" t="n">
        <v>0.1</v>
      </c>
      <c r="C3" s="21" t="inlineStr">
        <is>
          <t>당근 판매가를 시장 최저가보다 몇 % 싸게 잡을지. 전자책 권장 20~30%는 '시중가' 기준이며, 여기서는 이미 '최저가' 기준이라 10%를 출발점으로 둔 가정값.</t>
        </is>
      </c>
    </row>
    <row r="4">
      <c r="A4" s="2" t="inlineStr">
        <is>
          <t>당근 비즈프로필 판매 수수료</t>
        </is>
      </c>
      <c r="B4" s="20" t="n">
        <v>0.05</v>
      </c>
      <c r="C4" s="21" t="inlineStr">
        <is>
          <t>가정값. 당근 앱 비즈프로필 &gt; 상품 판매 안내에서 실제 수수료를 확인해 수정하세요.</t>
        </is>
      </c>
    </row>
    <row r="5">
      <c r="A5" s="2" t="inlineStr">
        <is>
          <t>스마트스토어 수수료 (결제+연동 합산)</t>
        </is>
      </c>
      <c r="B5" s="20" t="n">
        <v>0.06</v>
      </c>
      <c r="C5" s="21" t="inlineStr">
        <is>
          <t>가정값(네이버페이 주문관리 + 네이버쇼핑 매출연동 수수료 대략 합산). 판매자센터에서 실제 요율 확인 후 수정.</t>
        </is>
      </c>
    </row>
    <row r="6">
      <c r="A6" s="2" t="inlineStr">
        <is>
          <t>쿠팡 판매 수수료</t>
        </is>
      </c>
      <c r="B6" s="20" t="n">
        <v>0.108</v>
      </c>
      <c r="C6" s="21" t="inlineStr">
        <is>
          <t>가정값(다수 카테고리 기준 대략치). 카테고리별로 다르니 쿠팡 윙에서 확인 후 수정.</t>
        </is>
      </c>
    </row>
    <row r="7">
      <c r="A7" s="2" t="inlineStr">
        <is>
          <t>건당 예상 광고비 (원)</t>
        </is>
      </c>
      <c r="B7" s="22" t="n">
        <v>1000</v>
      </c>
      <c r="C7" s="21" t="inlineStr">
        <is>
          <t>가정값. 광고 테스트 후 '광고비 ÷ 판매건수'로 갱신하세요.</t>
        </is>
      </c>
    </row>
    <row r="8">
      <c r="A8" s="2" t="inlineStr">
        <is>
          <t>판매추천 최소 마진율</t>
        </is>
      </c>
      <c r="B8" s="20" t="n">
        <v>0.2</v>
      </c>
      <c r="C8" s="21" t="inlineStr">
        <is>
          <t>가정값. 이 마진율 이상 + 아래 최소 마진액 이상일 때 '판매추천'.</t>
        </is>
      </c>
    </row>
    <row r="9">
      <c r="A9" s="2" t="inlineStr">
        <is>
          <t>판매추천 최소 마진액 (원)</t>
        </is>
      </c>
      <c r="B9" s="22" t="n">
        <v>3000</v>
      </c>
      <c r="C9" s="21" t="inlineStr">
        <is>
          <t>가정값. 건당 이 금액 이상 남아야 판매추천.</t>
        </is>
      </c>
    </row>
    <row r="10">
      <c r="A10" s="2" t="inlineStr">
        <is>
          <t>오픈마켓 최저가 대비 가격 (원)</t>
        </is>
      </c>
      <c r="B10" s="22" t="n">
        <v>-100</v>
      </c>
      <c r="C10" s="21" t="inlineStr">
        <is>
          <t>스마트스토어/쿠팡에 올린다면 시장 최저가보다 얼마 낮게 팔지 (−100 = 100원 싸게).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1" customWidth="1" min="3" max="3"/>
  </cols>
  <sheetData>
    <row r="1">
      <c r="A1" s="3" t="inlineStr">
        <is>
          <t>상품 선정 체크리스트 (판정 '✅' 상품만 최종 점검)</t>
        </is>
      </c>
    </row>
    <row r="3">
      <c r="A3" s="13" t="inlineStr">
        <is>
          <t>구분</t>
        </is>
      </c>
      <c r="B3" s="13" t="inlineStr">
        <is>
          <t>확인 항목</t>
        </is>
      </c>
      <c r="C3" s="13" t="inlineStr">
        <is>
          <t>체크(O/X)</t>
        </is>
      </c>
    </row>
    <row r="4">
      <c r="A4" s="23" t="inlineStr">
        <is>
          <t>가격</t>
        </is>
      </c>
      <c r="B4" s="23" t="inlineStr">
        <is>
          <t>3사(스페셜오퍼·도매매·도매꾹) 모두 검색해 '배송비 포함' 단가를 비교했다</t>
        </is>
      </c>
      <c r="C4" s="16" t="n"/>
    </row>
    <row r="5">
      <c r="A5" s="23" t="inlineStr">
        <is>
          <t>가격</t>
        </is>
      </c>
      <c r="B5" s="23" t="inlineStr">
        <is>
          <t>스마트스토어·쿠팡 최저가가 '같은 모델·같은 구성'인지 확인했다</t>
        </is>
      </c>
      <c r="C5" s="16" t="n"/>
    </row>
    <row r="6">
      <c r="A6" s="23" t="inlineStr">
        <is>
          <t>가격</t>
        </is>
      </c>
      <c r="B6" s="23" t="inlineStr">
        <is>
          <t>쿠팡 로켓배송 가격이 내 원가보다 낮지 않다 (로켓 최저가는 이기기 어려움)</t>
        </is>
      </c>
      <c r="C6" s="16" t="n"/>
    </row>
    <row r="7">
      <c r="A7" s="23" t="inlineStr">
        <is>
          <t>위탁</t>
        </is>
      </c>
      <c r="B7" s="23" t="inlineStr">
        <is>
          <t>최소구매수량 1개, 고객 직배송(위탁배송)이 가능하다</t>
        </is>
      </c>
      <c r="C7" s="16" t="n"/>
    </row>
    <row r="8">
      <c r="A8" s="23" t="inlineStr">
        <is>
          <t>위탁</t>
        </is>
      </c>
      <c r="B8" s="23" t="inlineStr">
        <is>
          <t>송하인(보내는 사람)을 내 상호로 지정할 수 있다</t>
        </is>
      </c>
      <c r="C8" s="16" t="n"/>
    </row>
    <row r="9">
      <c r="A9" s="23" t="inlineStr">
        <is>
          <t>위탁</t>
        </is>
      </c>
      <c r="B9" s="23" t="inlineStr">
        <is>
          <t>발주마감 시간과 평균 출고일을 확인했다</t>
        </is>
      </c>
      <c r="C9" s="16" t="n"/>
    </row>
    <row r="10">
      <c r="A10" s="23" t="inlineStr">
        <is>
          <t>품질</t>
        </is>
      </c>
      <c r="B10" s="23" t="inlineStr">
        <is>
          <t>출고율 최우수 / 취소율 0%에 가깝다 (스페셜오퍼 등급 표시)</t>
        </is>
      </c>
      <c r="C10" s="16" t="n"/>
    </row>
    <row r="11">
      <c r="A11" s="23" t="inlineStr">
        <is>
          <t>품질</t>
        </is>
      </c>
      <c r="B11" s="23" t="inlineStr">
        <is>
          <t>반품·불량 처리 절차가 있다</t>
        </is>
      </c>
      <c r="C11" s="16" t="n"/>
    </row>
    <row r="12">
      <c r="A12" s="23" t="inlineStr">
        <is>
          <t>품질</t>
        </is>
      </c>
      <c r="B12" s="23" t="inlineStr">
        <is>
          <t>샘플 1개를 직접 사서 확인했다</t>
        </is>
      </c>
      <c r="C12" s="16" t="n"/>
    </row>
    <row r="13">
      <c r="A13" s="23" t="inlineStr">
        <is>
          <t>판매</t>
        </is>
      </c>
      <c r="B13" s="23" t="inlineStr">
        <is>
          <t>상품명을 검색하면 판매처가 너무 많지 않다 (경쟁 강도)</t>
        </is>
      </c>
      <c r="C13" s="16" t="n"/>
    </row>
    <row r="14">
      <c r="A14" s="23" t="inlineStr">
        <is>
          <t>판매</t>
        </is>
      </c>
      <c r="B14" s="23" t="inlineStr">
        <is>
          <t>부피 작고 파손 위험 낮은 상품이다</t>
        </is>
      </c>
      <c r="C14" s="16" t="n"/>
    </row>
    <row r="15">
      <c r="A15" s="23" t="inlineStr">
        <is>
          <t>판매</t>
        </is>
      </c>
      <c r="B15" s="23" t="inlineStr">
        <is>
          <t>지금 계절·시즌에 맞는 상품이다</t>
        </is>
      </c>
      <c r="C15" s="16" t="n"/>
    </row>
    <row r="16">
      <c r="A16" s="23" t="inlineStr">
        <is>
          <t>법규</t>
        </is>
      </c>
      <c r="B16" s="23" t="inlineStr">
        <is>
          <t>KC인증·전파인증 등 필수 인증 대상이면 인증번호가 있다 (전기·아동·생활화학 제품 주의)</t>
        </is>
      </c>
      <c r="C16" s="16" t="n"/>
    </row>
    <row r="17">
      <c r="A17" s="23" t="inlineStr">
        <is>
          <t>법규</t>
        </is>
      </c>
      <c r="B17" s="23" t="inlineStr">
        <is>
          <t>상표·브랜드 무단사용(짝퉁) 위험이 없다</t>
        </is>
      </c>
      <c r="C17" s="16" t="n"/>
    </row>
  </sheetData>
  <dataValidations count="1">
    <dataValidation sqref="C4:C17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2026-09-28T09:53:53Z</dcterms:created>
  <dcterms:modified xsi:type="dcterms:W3CDTF">2026-09-28T09:53:53Z</dcterms:modified>
</cp:coreProperties>
</file>